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06cd5738890c2f8/Documents/Data_Practice/Completed_Assignments/"/>
    </mc:Choice>
  </mc:AlternateContent>
  <xr:revisionPtr revIDLastSave="4" documentId="13_ncr:1_{B8E699B8-52B9-4B1A-AC0A-6BCFC65B498C}" xr6:coauthVersionLast="47" xr6:coauthVersionMax="47" xr10:uidLastSave="{882062E3-C573-40D5-8114-D078E933BCE3}"/>
  <bookViews>
    <workbookView xWindow="-120" yWindow="-120" windowWidth="29040" windowHeight="15720" tabRatio="751" firstSheet="1" activeTab="5" xr2:uid="{00000000-000D-0000-FFFF-FFFF00000000}"/>
  </bookViews>
  <sheets>
    <sheet name="README" sheetId="1" state="hidden" r:id="rId1"/>
    <sheet name="TASKS" sheetId="2" r:id="rId2"/>
    <sheet name="Students" sheetId="3" r:id="rId3"/>
    <sheet name="Teachers" sheetId="4" r:id="rId4"/>
    <sheet name="Courses" sheetId="5" r:id="rId5"/>
    <sheet name="Batches" sheetId="6" r:id="rId6"/>
    <sheet name="Enrollments" sheetId="7" r:id="rId7"/>
    <sheet name="Payments" sheetId="8" r:id="rId8"/>
    <sheet name="Sessions" sheetId="9" r:id="rId9"/>
    <sheet name="Attendance" sheetId="10" r:id="rId10"/>
    <sheet name="Student_Pivot" sheetId="14" r:id="rId11"/>
    <sheet name="Payments_Pivot" sheetId="15" r:id="rId12"/>
    <sheet name="Teacher_Pay_Pivot" sheetId="27" r:id="rId13"/>
    <sheet name="Payment_by_Region_Pivot" sheetId="29" r:id="rId14"/>
    <sheet name="Courses_Pivot" sheetId="20" r:id="rId15"/>
    <sheet name="Enrollment_Pivot" sheetId="30" r:id="rId16"/>
  </sheets>
  <definedNames>
    <definedName name="_xlcn.WorksheetConnection_J_Evans_Excel_Basic_Project_With_Database.xlsxBatch_Table" hidden="1">Batch_Table[]</definedName>
    <definedName name="_xlcn.WorksheetConnection_J_Evans_Excel_Basic_Project_With_Database.xlsxCourse_Table" hidden="1">Course_Table[]</definedName>
    <definedName name="_xlcn.WorksheetConnection_J_Evans_Excel_Basic_Project_With_Database.xlsxEnrollments_Table" hidden="1">Enrollments_Table[]</definedName>
    <definedName name="_xlcn.WorksheetConnection_J_Evans_Excel_Basic_Project_With_Database.xlsxPayment_Table" hidden="1">Payment_Table[]</definedName>
    <definedName name="_xlcn.WorksheetConnection_J_Evans_Excel_Basic_Project_With_Database.xlsxStudent_Table" hidden="1">Student_Table[]</definedName>
    <definedName name="_xlcn.WorksheetConnection_J_Evans_Excel_Basic_Project_With_Database.xlsxTeacher_Table" hidden="1">Teacher_Table[]</definedName>
  </definedNames>
  <calcPr calcId="191029"/>
  <pivotCaches>
    <pivotCache cacheId="0" r:id="rId17"/>
    <pivotCache cacheId="1" r:id="rId18"/>
    <pivotCache cacheId="2" r:id="rId19"/>
    <pivotCache cacheId="3" r:id="rId20"/>
    <pivotCache cacheId="4" r:id="rId21"/>
    <pivotCache cacheId="5" r:id="rId22"/>
  </pivotCaches>
  <extLst>
    <ext xmlns:x15="http://schemas.microsoft.com/office/spreadsheetml/2010/11/main" uri="{FCE2AD5D-F65C-4FA6-A056-5C36A1767C68}">
      <x15:dataModel>
        <x15:modelTables>
          <x15:modelTable id="Teacher_Table" name="Teacher_Table" connection="WorksheetConnection_J_Evans_Excel_Basic_Project_With_Database.xlsx!Teacher_Table"/>
          <x15:modelTable id="Payment_Table" name="Payment_Table" connection="WorksheetConnection_J_Evans_Excel_Basic_Project_With_Database.xlsx!Payment_Table"/>
          <x15:modelTable id="Enrollments_Table" name="Enrollments_Table" connection="WorksheetConnection_J_Evans_Excel_Basic_Project_With_Database.xlsx!Enrollments_Table"/>
          <x15:modelTable id="Course_Table" name="Course_Table" connection="WorksheetConnection_J_Evans_Excel_Basic_Project_With_Database.xlsx!Course_Table"/>
          <x15:modelTable id="Batch_Table" name="Batch_Table" connection="WorksheetConnection_J_Evans_Excel_Basic_Project_With_Database.xlsx!Batch_Table"/>
          <x15:modelTable id="Student_Table" name="Student_Table" connection="WorksheetConnection_J_Evans_Excel_Basic_Project_With_Database.xlsx!Student_Table"/>
        </x15:modelTables>
        <x15:modelRelationships>
          <x15:modelRelationship fromTable="Batch_Table" fromColumn="teacher_id" toTable="Teacher_Table" toColumn="teacher_id"/>
          <x15:modelRelationship fromTable="Enrollments_Table" fromColumn="batch_id" toTable="Batch_Table" toColumn="batch_id"/>
          <x15:modelRelationship fromTable="Enrollments_Table" fromColumn="student_id" toTable="Student_Table" toColumn="student_id"/>
          <x15:modelRelationship fromTable="Payment_Table" fromColumn="enroll_id" toTable="Enrollments_Table" toColumn="enroll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6" l="1"/>
  <c r="I3" i="6"/>
  <c r="I4" i="6"/>
  <c r="I5" i="6"/>
  <c r="I6" i="6"/>
  <c r="I7" i="6"/>
  <c r="I8" i="6"/>
  <c r="I9" i="6"/>
  <c r="I10" i="6"/>
  <c r="I11" i="6"/>
  <c r="I12" i="6"/>
  <c r="I13" i="6"/>
  <c r="F5" i="10" a="1"/>
  <c r="F5" i="10" s="1"/>
  <c r="D3" i="10"/>
  <c r="D2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H9" i="8"/>
  <c r="H6" i="8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8" i="4"/>
  <c r="H2" i="5"/>
  <c r="I5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F2" i="10"/>
  <c r="G2" i="6"/>
  <c r="G3" i="6"/>
  <c r="G4" i="6"/>
  <c r="G5" i="6"/>
  <c r="G6" i="6"/>
  <c r="G7" i="6"/>
  <c r="G8" i="6"/>
  <c r="G9" i="6"/>
  <c r="G10" i="6"/>
  <c r="G11" i="6"/>
  <c r="G12" i="6"/>
  <c r="G13" i="6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E2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H3" i="8"/>
  <c r="I2" i="3"/>
  <c r="G36" i="7" l="1"/>
  <c r="G28" i="7"/>
  <c r="G20" i="7"/>
  <c r="G12" i="7"/>
  <c r="G4" i="7"/>
  <c r="G6" i="7"/>
  <c r="G37" i="7"/>
  <c r="G29" i="7"/>
  <c r="G21" i="7"/>
  <c r="G13" i="7"/>
  <c r="G5" i="7"/>
  <c r="G14" i="7"/>
  <c r="G35" i="7"/>
  <c r="G27" i="7"/>
  <c r="G19" i="7"/>
  <c r="G11" i="7"/>
  <c r="G3" i="7"/>
  <c r="G34" i="7"/>
  <c r="G26" i="7"/>
  <c r="G18" i="7"/>
  <c r="G10" i="7"/>
  <c r="G2" i="7"/>
  <c r="G33" i="7"/>
  <c r="G25" i="7"/>
  <c r="G17" i="7"/>
  <c r="G9" i="7"/>
  <c r="G30" i="7"/>
  <c r="G32" i="7"/>
  <c r="G24" i="7"/>
  <c r="G16" i="7"/>
  <c r="G8" i="7"/>
  <c r="G22" i="7"/>
  <c r="G31" i="7"/>
  <c r="G23" i="7"/>
  <c r="G15" i="7"/>
  <c r="G7" i="7"/>
  <c r="E7" i="5"/>
  <c r="F7" i="5" s="1"/>
  <c r="E6" i="5"/>
  <c r="F6" i="5" s="1"/>
  <c r="E4" i="5"/>
  <c r="F4" i="5" s="1"/>
  <c r="E5" i="5"/>
  <c r="F5" i="5" s="1"/>
  <c r="E3" i="5"/>
  <c r="F3" i="5" s="1"/>
  <c r="A16" i="6"/>
  <c r="E2" i="5"/>
  <c r="F2" i="5" s="1"/>
  <c r="H8" i="6" l="1"/>
  <c r="H9" i="6"/>
  <c r="H7" i="6"/>
  <c r="H6" i="6"/>
  <c r="F4" i="4" s="1"/>
  <c r="H10" i="6"/>
  <c r="H11" i="6"/>
  <c r="H12" i="6"/>
  <c r="H13" i="6"/>
  <c r="H2" i="6"/>
  <c r="H3" i="6"/>
  <c r="F3" i="4" s="1"/>
  <c r="H4" i="6"/>
  <c r="F5" i="4" s="1"/>
  <c r="H5" i="6"/>
  <c r="F7" i="4" s="1"/>
  <c r="F2" i="4" l="1"/>
  <c r="F9" i="4"/>
  <c r="F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313331-C5DF-453C-AD3B-09EDB1F30473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07197BB-1C3D-4476-9209-DAF1DF1AE880}" name="WorksheetConnection_J_Evans_Excel_Basic_Project_With_Database.xlsx!Batch_Table" type="102" refreshedVersion="7" minRefreshableVersion="5">
    <extLst>
      <ext xmlns:x15="http://schemas.microsoft.com/office/spreadsheetml/2010/11/main" uri="{DE250136-89BD-433C-8126-D09CA5730AF9}">
        <x15:connection id="Batch_Table">
          <x15:rangePr sourceName="_xlcn.WorksheetConnection_J_Evans_Excel_Basic_Project_With_Database.xlsxBatch_Table"/>
        </x15:connection>
      </ext>
    </extLst>
  </connection>
  <connection id="3" xr16:uid="{CF61254F-9770-4F2C-A30A-5C6525260F8B}" name="WorksheetConnection_J_Evans_Excel_Basic_Project_With_Database.xlsx!Course_Table" type="102" refreshedVersion="7" minRefreshableVersion="5">
    <extLst>
      <ext xmlns:x15="http://schemas.microsoft.com/office/spreadsheetml/2010/11/main" uri="{DE250136-89BD-433C-8126-D09CA5730AF9}">
        <x15:connection id="Course_Table">
          <x15:rangePr sourceName="_xlcn.WorksheetConnection_J_Evans_Excel_Basic_Project_With_Database.xlsxCourse_Table"/>
        </x15:connection>
      </ext>
    </extLst>
  </connection>
  <connection id="4" xr16:uid="{A9CCC67D-6814-4B00-8B76-A5E90050777B}" name="WorksheetConnection_J_Evans_Excel_Basic_Project_With_Database.xlsx!Enrollments_Table" type="102" refreshedVersion="7" minRefreshableVersion="5">
    <extLst>
      <ext xmlns:x15="http://schemas.microsoft.com/office/spreadsheetml/2010/11/main" uri="{DE250136-89BD-433C-8126-D09CA5730AF9}">
        <x15:connection id="Enrollments_Table">
          <x15:rangePr sourceName="_xlcn.WorksheetConnection_J_Evans_Excel_Basic_Project_With_Database.xlsxEnrollments_Table"/>
        </x15:connection>
      </ext>
    </extLst>
  </connection>
  <connection id="5" xr16:uid="{401DF359-94C3-4EF0-9234-F8C0BFDEE188}" name="WorksheetConnection_J_Evans_Excel_Basic_Project_With_Database.xlsx!Payment_Table" type="102" refreshedVersion="7" minRefreshableVersion="5">
    <extLst>
      <ext xmlns:x15="http://schemas.microsoft.com/office/spreadsheetml/2010/11/main" uri="{DE250136-89BD-433C-8126-D09CA5730AF9}">
        <x15:connection id="Payment_Table">
          <x15:rangePr sourceName="_xlcn.WorksheetConnection_J_Evans_Excel_Basic_Project_With_Database.xlsxPayment_Table"/>
        </x15:connection>
      </ext>
    </extLst>
  </connection>
  <connection id="6" xr16:uid="{FE324867-CD27-4ACA-B36D-2AAF10A4A418}" name="WorksheetConnection_J_Evans_Excel_Basic_Project_With_Database.xlsx!Student_Table" type="102" refreshedVersion="7" minRefreshableVersion="5">
    <extLst>
      <ext xmlns:x15="http://schemas.microsoft.com/office/spreadsheetml/2010/11/main" uri="{DE250136-89BD-433C-8126-D09CA5730AF9}">
        <x15:connection id="Student_Table">
          <x15:rangePr sourceName="_xlcn.WorksheetConnection_J_Evans_Excel_Basic_Project_With_Database.xlsxStudent_Table"/>
        </x15:connection>
      </ext>
    </extLst>
  </connection>
  <connection id="7" xr16:uid="{F007890D-7E6A-46B8-BF15-654E0A6F0196}" name="WorksheetConnection_J_Evans_Excel_Basic_Project_With_Database.xlsx!Teacher_Table" type="102" refreshedVersion="7" minRefreshableVersion="5">
    <extLst>
      <ext xmlns:x15="http://schemas.microsoft.com/office/spreadsheetml/2010/11/main" uri="{DE250136-89BD-433C-8126-D09CA5730AF9}">
        <x15:connection id="Teacher_Table">
          <x15:rangePr sourceName="_xlcn.WorksheetConnection_J_Evans_Excel_Basic_Project_With_Database.xlsxTeacher_Table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<sst xmlns="http://schemas.openxmlformats.org/spreadsheetml/2006/main" count="611" uniqueCount="290">
  <si>
    <t>Basic Excel Project (Tutoring DB) — How to Use</t>
  </si>
  <si>
    <t>Instructions</t>
  </si>
  <si>
    <t>Beginner Excel project with a realistic tutoring database.
Use the data sheets (Students, Teachers, Courses, Batches, Enrollments, Payments, Sessions, Attendance)
and complete tasks on the TASKS sheet. Prefer PIVOT TABLES for summaries + SUMIF/COUNTIF/SUMIFS/INDEX‑MATCH.
Dates are real; group by Month or Week for trends.</t>
  </si>
  <si>
    <t>Project Tasks (20) — Start Here</t>
  </si>
  <si>
    <t>No.</t>
  </si>
  <si>
    <t>Task</t>
  </si>
  <si>
    <t>Hint / Suggested Approach</t>
  </si>
  <si>
    <t>Example Answer</t>
  </si>
  <si>
    <t>Total number of students.</t>
  </si>
  <si>
    <t>Use =COUNTA on Students[student_id].</t>
  </si>
  <si>
    <t>Which city has the most students?</t>
  </si>
  <si>
    <t>PIVOT: Rows City, Values Count of student_id.</t>
  </si>
  <si>
    <t>Ghaziabad (7)</t>
  </si>
  <si>
    <t>Total revenue collected from payments.</t>
  </si>
  <si>
    <t>Use =SUM on Payments[amount].</t>
  </si>
  <si>
    <t>Monthly revenue trend (YYYY‑MM).</t>
  </si>
  <si>
    <t>PIVOT: Rows payment_date (Month), Values Sum(amount).</t>
  </si>
  <si>
    <t>See mini table below</t>
  </si>
  <si>
    <t>Total outstanding fees (Course Price − Paid) across enrollments.</t>
  </si>
  <si>
    <t>SUMIFS Paid per Enroll vs Course Price table.</t>
  </si>
  <si>
    <t>Top 3 courses by revenue.</t>
  </si>
  <si>
    <t>PIVOT: Rows course_name, Values Sum(amount). Sort Desc.</t>
  </si>
  <si>
    <t>Teacher with highest revenue attribution.</t>
  </si>
  <si>
    <t>Join Payments→Enrollments→Batches; PIVOT by teacher.</t>
  </si>
  <si>
    <t>Bushra Sahik (₹99000)</t>
  </si>
  <si>
    <t>Average class size per batch.</t>
  </si>
  <si>
    <t>COUNTIF enrollments per batch then AVERAGE.</t>
  </si>
  <si>
    <t>Overall attendance rate (% present).</t>
  </si>
  <si>
    <t>In Attendance, =AVERAGE(present) * 100.</t>
  </si>
  <si>
    <t>86.78%</t>
  </si>
  <si>
    <t>Course with maximum enrollments.</t>
  </si>
  <si>
    <t>PIVOT: Rows course_name, Values Count of enroll_id.</t>
  </si>
  <si>
    <t>Class 12 Chemistry (10)</t>
  </si>
  <si>
    <t>How many students enrolled in 2+ batches?</t>
  </si>
  <si>
    <t>COUNTIF per student_id then COUNT of &gt;=2.</t>
  </si>
  <si>
    <t>Which city generated the highest revenue?</t>
  </si>
  <si>
    <t>Join Payments→Students; PIVOT by city.</t>
  </si>
  <si>
    <t>Ghaziabad (₹76500)</t>
  </si>
  <si>
    <t>Average course fee for each course.</t>
  </si>
  <si>
    <t>List Courses[course_name] and AVERAGE of price.</t>
  </si>
  <si>
    <t>See Courses sheet</t>
  </si>
  <si>
    <t>Weekly enrollment trend (YYYY‑WW).</t>
  </si>
  <si>
    <t>PIVOT: Rows enroll_date (Week), Values Count(enroll_id).</t>
  </si>
  <si>
    <t>Payment mode split (%) across all payments.</t>
  </si>
  <si>
    <t>PIVOT: Rows mode, Values Count / % of Column Total.</t>
  </si>
  <si>
    <t>Which teacher has highest gross margin (Revenue − Salary)?</t>
  </si>
  <si>
    <t>Compute revenue by teacher and subtract monthly_salary.</t>
  </si>
  <si>
    <t>See table; top sample: teacher_id 505</t>
  </si>
  <si>
    <t>On‑time payment rate (within 14 days of enrollment).</t>
  </si>
  <si>
    <t>Compare payment_date &lt;= enroll_date+14 days.</t>
  </si>
  <si>
    <t>100.0%</t>
  </si>
  <si>
    <t>Average revenue per student (ARPU).</t>
  </si>
  <si>
    <t>Total revenue / distinct students who paid.</t>
  </si>
  <si>
    <t>How many active students in the latest month (by attendance)?</t>
  </si>
  <si>
    <t>Count distinct student_id with present=1 for latest month.</t>
  </si>
  <si>
    <t>Next class date per batch.</t>
  </si>
  <si>
    <t>For each batch, MIN(session_date) where &gt;= TODAY().</t>
  </si>
  <si>
    <t>Computed per dataset; see Sessions sheet for schedule.</t>
  </si>
  <si>
    <t>Monthly Revenue (Example)</t>
  </si>
  <si>
    <t>ym</t>
  </si>
  <si>
    <t>revenue</t>
  </si>
  <si>
    <t>2025-01</t>
  </si>
  <si>
    <t>2025-02</t>
  </si>
  <si>
    <t>2025-03</t>
  </si>
  <si>
    <t>Top 3 Courses by Revenue (Example)</t>
  </si>
  <si>
    <t>course_name</t>
  </si>
  <si>
    <t>Class 12 Chemistry</t>
  </si>
  <si>
    <t>Class 12 Physics</t>
  </si>
  <si>
    <t>Class 8 Mathematics</t>
  </si>
  <si>
    <t>Weekly Enrollment Trend (Example)</t>
  </si>
  <si>
    <t>week</t>
  </si>
  <si>
    <t>enrollments</t>
  </si>
  <si>
    <t>2025-04</t>
  </si>
  <si>
    <t>2025-05</t>
  </si>
  <si>
    <t>2025-06</t>
  </si>
  <si>
    <t>2025-07</t>
  </si>
  <si>
    <t>2025-08</t>
  </si>
  <si>
    <t>2025-09</t>
  </si>
  <si>
    <t>Payment Mode Split % (Example)</t>
  </si>
  <si>
    <t>mode</t>
  </si>
  <si>
    <t>percent</t>
  </si>
  <si>
    <t>Card</t>
  </si>
  <si>
    <t>NetBanking</t>
  </si>
  <si>
    <t>UPI</t>
  </si>
  <si>
    <t>Cash</t>
  </si>
  <si>
    <t>student_id</t>
  </si>
  <si>
    <t>first_name</t>
  </si>
  <si>
    <t>last_name</t>
  </si>
  <si>
    <t>city</t>
  </si>
  <si>
    <t>phone</t>
  </si>
  <si>
    <t>full_name</t>
  </si>
  <si>
    <t>Zara</t>
  </si>
  <si>
    <t>Bansal</t>
  </si>
  <si>
    <t>Bengaluru</t>
  </si>
  <si>
    <t>905683403</t>
  </si>
  <si>
    <t>Zara Bansal</t>
  </si>
  <si>
    <t>Anika</t>
  </si>
  <si>
    <t>903536826</t>
  </si>
  <si>
    <t>Anika Bansal</t>
  </si>
  <si>
    <t>Meera</t>
  </si>
  <si>
    <t>Singh</t>
  </si>
  <si>
    <t>Lucknow</t>
  </si>
  <si>
    <t>906128400</t>
  </si>
  <si>
    <t>Meera Singh</t>
  </si>
  <si>
    <t>Aman</t>
  </si>
  <si>
    <t>Roy</t>
  </si>
  <si>
    <t>Ghaziabad</t>
  </si>
  <si>
    <t>908595563</t>
  </si>
  <si>
    <t>Aman Roy</t>
  </si>
  <si>
    <t>Riya</t>
  </si>
  <si>
    <t>Delhi</t>
  </si>
  <si>
    <t>902085257</t>
  </si>
  <si>
    <t>Riya Roy</t>
  </si>
  <si>
    <t>Nina</t>
  </si>
  <si>
    <t>Bose</t>
  </si>
  <si>
    <t>903900236</t>
  </si>
  <si>
    <t>Nina Bose</t>
  </si>
  <si>
    <t>Sana</t>
  </si>
  <si>
    <t>904446019</t>
  </si>
  <si>
    <t>Sana Singh</t>
  </si>
  <si>
    <t>Arjun</t>
  </si>
  <si>
    <t>Sharma</t>
  </si>
  <si>
    <t>903641966</t>
  </si>
  <si>
    <t>Arjun Sharma</t>
  </si>
  <si>
    <t>Veer</t>
  </si>
  <si>
    <t>Malik</t>
  </si>
  <si>
    <t>909876110</t>
  </si>
  <si>
    <t>Veer Malik</t>
  </si>
  <si>
    <t>Shah</t>
  </si>
  <si>
    <t>Mumbai</t>
  </si>
  <si>
    <t>904903188</t>
  </si>
  <si>
    <t>Meera Shah</t>
  </si>
  <si>
    <t>Tara</t>
  </si>
  <si>
    <t>Faridabad</t>
  </si>
  <si>
    <t>903721212</t>
  </si>
  <si>
    <t>Tara Sharma</t>
  </si>
  <si>
    <t>Gupta</t>
  </si>
  <si>
    <t>905993275</t>
  </si>
  <si>
    <t>Sana Gupta</t>
  </si>
  <si>
    <t>Mira</t>
  </si>
  <si>
    <t>Noida</t>
  </si>
  <si>
    <t>901112099</t>
  </si>
  <si>
    <t>Mira Roy</t>
  </si>
  <si>
    <t>Kapoor</t>
  </si>
  <si>
    <t>902926384</t>
  </si>
  <si>
    <t>Meera Kapoor</t>
  </si>
  <si>
    <t>Reddy</t>
  </si>
  <si>
    <t>903201480</t>
  </si>
  <si>
    <t>Tara Reddy</t>
  </si>
  <si>
    <t>Sara</t>
  </si>
  <si>
    <t>Mehta</t>
  </si>
  <si>
    <t>905772762</t>
  </si>
  <si>
    <t>Sara Mehta</t>
  </si>
  <si>
    <t>Ayaan</t>
  </si>
  <si>
    <t>Patel</t>
  </si>
  <si>
    <t>900546554</t>
  </si>
  <si>
    <t>Ayaan Patel</t>
  </si>
  <si>
    <t>903198167</t>
  </si>
  <si>
    <t>Mira Reddy</t>
  </si>
  <si>
    <t>906672423</t>
  </si>
  <si>
    <t>Arjun Kapoor</t>
  </si>
  <si>
    <t>Aisha</t>
  </si>
  <si>
    <t>907013507</t>
  </si>
  <si>
    <t>Aisha Bose</t>
  </si>
  <si>
    <t>Khan</t>
  </si>
  <si>
    <t>909467788</t>
  </si>
  <si>
    <t>Anika Khan</t>
  </si>
  <si>
    <t>Ira</t>
  </si>
  <si>
    <t>905616076</t>
  </si>
  <si>
    <t>Ira Khan</t>
  </si>
  <si>
    <t>900600911</t>
  </si>
  <si>
    <t>Arjun Roy</t>
  </si>
  <si>
    <t>Neha</t>
  </si>
  <si>
    <t>Gurgaon</t>
  </si>
  <si>
    <t>902506525</t>
  </si>
  <si>
    <t>Neha Khan</t>
  </si>
  <si>
    <t>Aarav</t>
  </si>
  <si>
    <t>908842888</t>
  </si>
  <si>
    <t>Aarav Sharma</t>
  </si>
  <si>
    <t>Om</t>
  </si>
  <si>
    <t>Verma</t>
  </si>
  <si>
    <t>907938614</t>
  </si>
  <si>
    <t>Om Verma</t>
  </si>
  <si>
    <t>908675701</t>
  </si>
  <si>
    <t>Sana Sharma</t>
  </si>
  <si>
    <t>906228678</t>
  </si>
  <si>
    <t>Ayaan Sharma</t>
  </si>
  <si>
    <t>900192149</t>
  </si>
  <si>
    <t>Aisha Mehta</t>
  </si>
  <si>
    <t>900675884</t>
  </si>
  <si>
    <t>Nina Shah</t>
  </si>
  <si>
    <t>teacher_id</t>
  </si>
  <si>
    <t>teacher_name</t>
  </si>
  <si>
    <t>expertise</t>
  </si>
  <si>
    <t>base_city</t>
  </si>
  <si>
    <t>monthly_salary</t>
  </si>
  <si>
    <t>Ankita Singh</t>
  </si>
  <si>
    <t>Maths</t>
  </si>
  <si>
    <t>Shubhanshu Shrivastava</t>
  </si>
  <si>
    <t>Science</t>
  </si>
  <si>
    <t>Sakshi Thanai</t>
  </si>
  <si>
    <t>Physics</t>
  </si>
  <si>
    <t>Sowmya B</t>
  </si>
  <si>
    <t>Chemistry</t>
  </si>
  <si>
    <t>Bushra Sahik</t>
  </si>
  <si>
    <t>Biology</t>
  </si>
  <si>
    <t>Madhumitha Kumaran</t>
  </si>
  <si>
    <t>English</t>
  </si>
  <si>
    <t>Rohit Yadav</t>
  </si>
  <si>
    <t>Accounts</t>
  </si>
  <si>
    <t>Wasim Khan</t>
  </si>
  <si>
    <t>Economics</t>
  </si>
  <si>
    <t>course_id</t>
  </si>
  <si>
    <t>duration_weeks</t>
  </si>
  <si>
    <t>price</t>
  </si>
  <si>
    <t>Class 10 Science</t>
  </si>
  <si>
    <t>Class 11 Accounts</t>
  </si>
  <si>
    <t>Class 11 Economics</t>
  </si>
  <si>
    <t>batch_id</t>
  </si>
  <si>
    <t>start_date</t>
  </si>
  <si>
    <t>days_per_week</t>
  </si>
  <si>
    <t>time_slot</t>
  </si>
  <si>
    <t>09:00-10:00</t>
  </si>
  <si>
    <t>19:00-20:00</t>
  </si>
  <si>
    <t>17:00-18:00</t>
  </si>
  <si>
    <t>enroll_id</t>
  </si>
  <si>
    <t>enroll_date</t>
  </si>
  <si>
    <t>payment_id</t>
  </si>
  <si>
    <t>payment_date</t>
  </si>
  <si>
    <t>amount</t>
  </si>
  <si>
    <t>session_id</t>
  </si>
  <si>
    <t>session_date</t>
  </si>
  <si>
    <t>topic</t>
  </si>
  <si>
    <t>Topic 1</t>
  </si>
  <si>
    <t>Topic 2</t>
  </si>
  <si>
    <t>Topic 3</t>
  </si>
  <si>
    <t>Topic 4</t>
  </si>
  <si>
    <t>Topic 5</t>
  </si>
  <si>
    <t>Topic 6</t>
  </si>
  <si>
    <t>Topic 7</t>
  </si>
  <si>
    <t>Topic 8</t>
  </si>
  <si>
    <t>Topic 9</t>
  </si>
  <si>
    <t>Topic 10</t>
  </si>
  <si>
    <t>Topic 11</t>
  </si>
  <si>
    <t>Topic 12</t>
  </si>
  <si>
    <t>Topic 13</t>
  </si>
  <si>
    <t>Topic 14</t>
  </si>
  <si>
    <t>present</t>
  </si>
  <si>
    <t>Total Students</t>
  </si>
  <si>
    <t>Row Labels</t>
  </si>
  <si>
    <t>Grand Total</t>
  </si>
  <si>
    <t>Count of student_id</t>
  </si>
  <si>
    <t>Total Revenue</t>
  </si>
  <si>
    <t>Jan</t>
  </si>
  <si>
    <t>Feb</t>
  </si>
  <si>
    <t>Mar</t>
  </si>
  <si>
    <t>Sum of amount</t>
  </si>
  <si>
    <t>outstanding_fees</t>
  </si>
  <si>
    <t>fees_paid</t>
  </si>
  <si>
    <t>fees_generated</t>
  </si>
  <si>
    <t>no_enrolled</t>
  </si>
  <si>
    <t>no_enrolled_batch</t>
  </si>
  <si>
    <t>total_amount</t>
  </si>
  <si>
    <t>Sum of total_amount</t>
  </si>
  <si>
    <t>Average Class Size</t>
  </si>
  <si>
    <t>Average Attendance</t>
  </si>
  <si>
    <t>Amount Enrolled</t>
  </si>
  <si>
    <t>Total</t>
  </si>
  <si>
    <t>total_enrolments</t>
  </si>
  <si>
    <t>Total Student with multiple enrollments</t>
  </si>
  <si>
    <t>Average Price</t>
  </si>
  <si>
    <t>Count of enroll_id</t>
  </si>
  <si>
    <t>06/01/2025 - 12/01/2025</t>
  </si>
  <si>
    <t>13/01/2025 - 19/01/2025</t>
  </si>
  <si>
    <t>20/01/2025 - 26/01/2025</t>
  </si>
  <si>
    <t>27/01/2025 - 02/02/2025</t>
  </si>
  <si>
    <t>03/02/2025 - 09/02/2025</t>
  </si>
  <si>
    <t>10/02/2025 - 16/02/2025</t>
  </si>
  <si>
    <t>17/02/2025 - 23/02/2025</t>
  </si>
  <si>
    <t>24/02/2025 - 02/03/2025</t>
  </si>
  <si>
    <t>profit_generated</t>
  </si>
  <si>
    <t>revenue_from_batch</t>
  </si>
  <si>
    <t>paid_ontime</t>
  </si>
  <si>
    <t>% Paid Ontime</t>
  </si>
  <si>
    <t>Average Revenue</t>
  </si>
  <si>
    <t>session_in_last_month</t>
  </si>
  <si>
    <t>Unique Attendees in the Last Month</t>
  </si>
  <si>
    <t>Next session</t>
  </si>
  <si>
    <t>Current Date:</t>
  </si>
  <si>
    <t>&lt;- replace today() with this cell in Next Session column to activate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</si>
</sst>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4" fillId="2" borderId="0" xfId="0" applyFont="1" applyFill="1"/>
    <xf numFmtId="0" fontId="3" fillId="2" borderId="1" xfId="0" applyFont="1" applyFill="1" applyBorder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10" fontId="0" fillId="0" borderId="1" xfId="0" applyNumberFormat="1" applyBorder="1" applyAlignment="1">
      <alignment horizontal="center"/>
    </xf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left"/>
    </xf>
    <xf numFmtId="10" fontId="0" fillId="0" borderId="0" xfId="0" applyNumberFormat="1" applyAlignment="1">
      <alignment horizontal="center"/>
    </xf>
    <xf numFmtId="10" fontId="4" fillId="2" borderId="0" xfId="0" applyNumberFormat="1" applyFont="1" applyFill="1" applyAlignment="1">
      <alignment horizontal="center"/>
    </xf>
    <xf numFmtId="0" fontId="5" fillId="0" borderId="0" xfId="0" pivotButton="1" applyFont="1"/>
    <xf numFmtId="0" fontId="5" fillId="0" borderId="0" xfId="0" applyFont="1"/>
    <xf numFmtId="0" fontId="5" fillId="0" borderId="0" xfId="0" applyFont="1" applyAlignment="1">
      <alignment horizontal="left"/>
    </xf>
    <xf numFmtId="14" fontId="0" fillId="0" borderId="0" xfId="0" applyNumberFormat="1"/>
    <xf numFmtId="1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/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84"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4" formatCode="0.00%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yyyy\-mm\-dd"/>
    </dxf>
    <dxf>
      <numFmt numFmtId="0" formatCode="General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19" formatCode="dd/mm/yyyy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sharedStrings" Target="sharedStrings.xml"/><Relationship Id="rId39" Type="http://schemas.openxmlformats.org/officeDocument/2006/relationships/customXml" Target="../customXml/item9.xml"/><Relationship Id="rId21" Type="http://schemas.openxmlformats.org/officeDocument/2006/relationships/pivotCacheDefinition" Target="pivotCache/pivotCacheDefinition5.xml"/><Relationship Id="rId34" Type="http://schemas.openxmlformats.org/officeDocument/2006/relationships/customXml" Target="../customXml/item4.xml"/><Relationship Id="rId42" Type="http://schemas.openxmlformats.org/officeDocument/2006/relationships/customXml" Target="../customXml/item1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2.xml"/><Relationship Id="rId37" Type="http://schemas.openxmlformats.org/officeDocument/2006/relationships/customXml" Target="../customXml/item7.xml"/><Relationship Id="rId40" Type="http://schemas.openxmlformats.org/officeDocument/2006/relationships/customXml" Target="../customXml/item10.xml"/><Relationship Id="rId45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powerPivotData" Target="model/item.data"/><Relationship Id="rId36" Type="http://schemas.openxmlformats.org/officeDocument/2006/relationships/customXml" Target="../customXml/item6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31" Type="http://schemas.openxmlformats.org/officeDocument/2006/relationships/customXml" Target="../customXml/item1.xml"/><Relationship Id="rId44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sheetMetadata" Target="metadata.xml"/><Relationship Id="rId30" Type="http://schemas.openxmlformats.org/officeDocument/2006/relationships/calcChain" Target="calcChain.xml"/><Relationship Id="rId35" Type="http://schemas.openxmlformats.org/officeDocument/2006/relationships/customXml" Target="../customXml/item5.xml"/><Relationship Id="rId43" Type="http://schemas.openxmlformats.org/officeDocument/2006/relationships/customXml" Target="../customXml/item1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styles" Target="styles.xml"/><Relationship Id="rId33" Type="http://schemas.openxmlformats.org/officeDocument/2006/relationships/customXml" Target="../customXml/item3.xml"/><Relationship Id="rId38" Type="http://schemas.openxmlformats.org/officeDocument/2006/relationships/customXml" Target="../customXml/item8.xml"/><Relationship Id="rId20" Type="http://schemas.openxmlformats.org/officeDocument/2006/relationships/pivotCacheDefinition" Target="pivotCache/pivotCacheDefinition4.xml"/><Relationship Id="rId41" Type="http://schemas.openxmlformats.org/officeDocument/2006/relationships/customXml" Target="../customXml/item1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. EVANS (Knypersley First School)" refreshedDate="46049.46638726852" createdVersion="7" refreshedVersion="7" minRefreshableVersion="3" recordCount="30" xr:uid="{F47B41F5-6255-4867-BBA5-E8025D3BEE6B}">
  <cacheSource type="worksheet">
    <worksheetSource name="Student_Table"/>
  </cacheSource>
  <cacheFields count="6">
    <cacheField name="student_id" numFmtId="0">
      <sharedItems containsSemiMixedTypes="0" containsString="0" containsNumber="1" containsInteger="1" minValue="1001" maxValue="1030" count="3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</sharedItems>
    </cacheField>
    <cacheField name="first_name" numFmtId="0">
      <sharedItems/>
    </cacheField>
    <cacheField name="last_name" numFmtId="0">
      <sharedItems/>
    </cacheField>
    <cacheField name="city" numFmtId="0">
      <sharedItems count="8">
        <s v="Bengaluru"/>
        <s v="Lucknow"/>
        <s v="Ghaziabad"/>
        <s v="Delhi"/>
        <s v="Mumbai"/>
        <s v="Faridabad"/>
        <s v="Noida"/>
        <s v="Gurgaon"/>
      </sharedItems>
    </cacheField>
    <cacheField name="phone" numFmtId="0">
      <sharedItems/>
    </cacheField>
    <cacheField name="full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. EVANS (Knypersley First School)" refreshedDate="46049.638088541666" createdVersion="7" refreshedVersion="7" minRefreshableVersion="3" recordCount="50" xr:uid="{B18DADEA-D1AF-46EA-92D7-A3FCE7B5B906}">
  <cacheSource type="worksheet">
    <worksheetSource name="Payment_Table"/>
  </cacheSource>
  <cacheFields count="6">
    <cacheField name="payment_id" numFmtId="0">
      <sharedItems containsSemiMixedTypes="0" containsString="0" containsNumber="1" containsInteger="1" minValue="1" maxValue="50"/>
    </cacheField>
    <cacheField name="enroll_id" numFmtId="0">
      <sharedItems containsSemiMixedTypes="0" containsString="0" containsNumber="1" containsInteger="1" minValue="1" maxValue="36"/>
    </cacheField>
    <cacheField name="payment_date" numFmtId="164">
      <sharedItems containsSemiMixedTypes="0" containsNonDate="0" containsDate="1" containsString="0" minDate="2025-01-15T00:00:00" maxDate="2025-03-14T00:00:00" count="36">
        <d v="2025-02-22T00:00:00"/>
        <d v="2025-03-01T00:00:00"/>
        <d v="2025-01-26T00:00:00"/>
        <d v="2025-02-13T00:00:00"/>
        <d v="2025-02-20T00:00:00"/>
        <d v="2025-03-06T00:00:00"/>
        <d v="2025-03-13T00:00:00"/>
        <d v="2025-03-03T00:00:00"/>
        <d v="2025-03-10T00:00:00"/>
        <d v="2025-01-31T00:00:00"/>
        <d v="2025-02-07T00:00:00"/>
        <d v="2025-01-17T00:00:00"/>
        <d v="2025-02-11T00:00:00"/>
        <d v="2025-02-18T00:00:00"/>
        <d v="2025-02-17T00:00:00"/>
        <d v="2025-02-24T00:00:00"/>
        <d v="2025-02-27T00:00:00"/>
        <d v="2025-02-15T00:00:00"/>
        <d v="2025-01-16T00:00:00"/>
        <d v="2025-01-15T00:00:00"/>
        <d v="2025-02-23T00:00:00"/>
        <d v="2025-03-02T00:00:00"/>
        <d v="2025-01-28T00:00:00"/>
        <d v="2025-01-24T00:00:00"/>
        <d v="2025-01-20T00:00:00"/>
        <d v="2025-02-05T00:00:00"/>
        <d v="2025-02-02T00:00:00"/>
        <d v="2025-02-09T00:00:00"/>
        <d v="2025-02-28T00:00:00"/>
        <d v="2025-01-25T00:00:00"/>
        <d v="2025-02-08T00:00:00"/>
        <d v="2025-02-04T00:00:00"/>
        <d v="2025-02-25T00:00:00"/>
        <d v="2025-03-09T00:00:00"/>
        <d v="2025-01-18T00:00:00"/>
        <d v="2025-03-08T00:00:00"/>
      </sharedItems>
      <fieldGroup par="5" base="2">
        <rangePr groupBy="days" startDate="2025-01-15T00:00:00" endDate="2025-03-14T00:00:00"/>
        <groupItems count="368">
          <s v="&lt;15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4/03/2025"/>
        </groupItems>
      </fieldGroup>
    </cacheField>
    <cacheField name="amount" numFmtId="0">
      <sharedItems containsSemiMixedTypes="0" containsString="0" containsNumber="1" containsInteger="1" minValue="3000" maxValue="12000" count="7">
        <n v="6000"/>
        <n v="7500"/>
        <n v="4500"/>
        <n v="3000"/>
        <n v="12000"/>
        <n v="3750"/>
        <n v="9000"/>
      </sharedItems>
    </cacheField>
    <cacheField name="mode" numFmtId="0">
      <sharedItems count="4">
        <s v="Card"/>
        <s v="UPI"/>
        <s v="NetBanking"/>
        <s v="Cash"/>
      </sharedItems>
    </cacheField>
    <cacheField name="Months" numFmtId="0" databaseField="0">
      <fieldGroup base="2">
        <rangePr groupBy="months" startDate="2025-01-15T00:00:00" endDate="2025-03-14T00:00:00"/>
        <groupItems count="14">
          <s v="&lt;15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/0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. EVANS (Knypersley First School)" refreshedDate="46049.690654050923" createdVersion="7" refreshedVersion="7" minRefreshableVersion="3" recordCount="6" xr:uid="{0486251A-3C10-44E5-A24B-B362582A51B3}">
  <cacheSource type="worksheet">
    <worksheetSource name="Course_Table"/>
  </cacheSource>
  <cacheFields count="6">
    <cacheField name="course_id" numFmtId="0">
      <sharedItems containsSemiMixedTypes="0" containsString="0" containsNumber="1" containsInteger="1" minValue="201" maxValue="206"/>
    </cacheField>
    <cacheField name="course_name" numFmtId="0">
      <sharedItems count="6">
        <s v="Class 8 Mathematics"/>
        <s v="Class 10 Science"/>
        <s v="Class 12 Physics"/>
        <s v="Class 12 Chemistry"/>
        <s v="Class 11 Accounts"/>
        <s v="Class 11 Economics"/>
      </sharedItems>
    </cacheField>
    <cacheField name="duration_weeks" numFmtId="0">
      <sharedItems containsSemiMixedTypes="0" containsString="0" containsNumber="1" containsInteger="1" minValue="12" maxValue="16"/>
    </cacheField>
    <cacheField name="price" numFmtId="0">
      <sharedItems containsSemiMixedTypes="0" containsString="0" containsNumber="1" containsInteger="1" minValue="6000" maxValue="12000"/>
    </cacheField>
    <cacheField name="no_enrolled" numFmtId="0">
      <sharedItems containsSemiMixedTypes="0" containsString="0" containsNumber="1" containsInteger="1" minValue="3" maxValue="10"/>
    </cacheField>
    <cacheField name="total_amount" numFmtId="0">
      <sharedItems containsSemiMixedTypes="0" containsString="0" containsNumber="1" containsInteger="1" minValue="27000" maxValue="1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. EVANS (Knypersley First School)" refreshedDate="46050.645048611113" createdVersion="7" refreshedVersion="7" minRefreshableVersion="3" recordCount="0" supportSubquery="1" supportAdvancedDrill="1" xr:uid="{D8C4B028-FDD5-428F-9AD6-B446682CCBCF}">
  <cacheSource type="external" connectionId="1"/>
  <cacheFields count="2">
    <cacheField name="[Student_Table].[city].[city]" caption="city" numFmtId="0" hierarchy="28" level="1">
      <sharedItems count="8">
        <s v="Bengaluru"/>
        <s v="Delhi"/>
        <s v="Faridabad"/>
        <s v="Ghaziabad"/>
        <s v="Gurgaon"/>
        <s v="Lucknow"/>
        <s v="Mumbai"/>
        <s v="Noida"/>
      </sharedItems>
    </cacheField>
    <cacheField name="[Measures].[Sum of amount]" caption="Sum of amount" numFmtId="0" hierarchy="60" level="32767"/>
  </cacheFields>
  <cacheHierarchies count="61">
    <cacheHierarchy uniqueName="[Batch_Table].[batch_id]" caption="batch_id" attribute="1" defaultMemberUniqueName="[Batch_Table].[batch_id].[All]" allUniqueName="[Batch_Table].[batch_id].[All]" dimensionUniqueName="[Batch_Table]" displayFolder="" count="0" memberValueDatatype="20" unbalanced="0"/>
    <cacheHierarchy uniqueName="[Batch_Table].[course_id]" caption="course_id" attribute="1" defaultMemberUniqueName="[Batch_Table].[course_id].[All]" allUniqueName="[Batch_Table].[course_id].[All]" dimensionUniqueName="[Batch_Table]" displayFolder="" count="0" memberValueDatatype="20" unbalanced="0"/>
    <cacheHierarchy uniqueName="[Batch_Table].[teacher_id]" caption="teacher_id" attribute="1" defaultMemberUniqueName="[Batch_Table].[teacher_id].[All]" allUniqueName="[Batch_Table].[teacher_id].[All]" dimensionUniqueName="[Batch_Table]" displayFolder="" count="0" memberValueDatatype="20" unbalanced="0"/>
    <cacheHierarchy uniqueName="[Batch_Table].[start_date]" caption="start_date" attribute="1" time="1" defaultMemberUniqueName="[Batch_Table].[start_date].[All]" allUniqueName="[Batch_Table].[start_date].[All]" dimensionUniqueName="[Batch_Table]" displayFolder="" count="0" memberValueDatatype="7" unbalanced="0"/>
    <cacheHierarchy uniqueName="[Batch_Table].[days_per_week]" caption="days_per_week" attribute="1" defaultMemberUniqueName="[Batch_Table].[days_per_week].[All]" allUniqueName="[Batch_Table].[days_per_week].[All]" dimensionUniqueName="[Batch_Table]" displayFolder="" count="0" memberValueDatatype="20" unbalanced="0"/>
    <cacheHierarchy uniqueName="[Batch_Table].[time_slot]" caption="time_slot" attribute="1" defaultMemberUniqueName="[Batch_Table].[time_slot].[All]" allUniqueName="[Batch_Table].[time_slot].[All]" dimensionUniqueName="[Batch_Table]" displayFolder="" count="0" memberValueDatatype="130" unbalanced="0"/>
    <cacheHierarchy uniqueName="[Batch_Table].[no_enrolled_batch]" caption="no_enrolled_batch" attribute="1" defaultMemberUniqueName="[Batch_Table].[no_enrolled_batch].[All]" allUniqueName="[Batch_Table].[no_enrolled_batch].[All]" dimensionUniqueName="[Batch_Table]" displayFolder="" count="0" memberValueDatatype="20" unbalanced="0"/>
    <cacheHierarchy uniqueName="[Course_Table].[course_id]" caption="course_id" attribute="1" defaultMemberUniqueName="[Course_Table].[course_id].[All]" allUniqueName="[Course_Table].[course_id].[All]" dimensionUniqueName="[Course_Table]" displayFolder="" count="0" memberValueDatatype="20" unbalanced="0"/>
    <cacheHierarchy uniqueName="[Course_Table].[course_name]" caption="course_name" attribute="1" defaultMemberUniqueName="[Course_Table].[course_name].[All]" allUniqueName="[Course_Table].[course_name].[All]" dimensionUniqueName="[Course_Table]" displayFolder="" count="0" memberValueDatatype="130" unbalanced="0"/>
    <cacheHierarchy uniqueName="[Course_Table].[duration_weeks]" caption="duration_weeks" attribute="1" defaultMemberUniqueName="[Course_Table].[duration_weeks].[All]" allUniqueName="[Course_Table].[duration_weeks].[All]" dimensionUniqueName="[Course_Table]" displayFolder="" count="0" memberValueDatatype="20" unbalanced="0"/>
    <cacheHierarchy uniqueName="[Course_Table].[price]" caption="price" attribute="1" defaultMemberUniqueName="[Course_Table].[price].[All]" allUniqueName="[Course_Table].[price].[All]" dimensionUniqueName="[Course_Table]" displayFolder="" count="0" memberValueDatatype="20" unbalanced="0"/>
    <cacheHierarchy uniqueName="[Course_Table].[no_enrolled]" caption="no_enrolled" attribute="1" defaultMemberUniqueName="[Course_Table].[no_enrolled].[All]" allUniqueName="[Course_Table].[no_enrolled].[All]" dimensionUniqueName="[Course_Table]" displayFolder="" count="0" memberValueDatatype="20" unbalanced="0"/>
    <cacheHierarchy uniqueName="[Course_Table].[total_amount]" caption="total_amount" attribute="1" defaultMemberUniqueName="[Course_Table].[total_amount].[All]" allUniqueName="[Course_Table].[total_amount].[All]" dimensionUniqueName="[Course_Table]" displayFolder="" count="0" memberValueDatatype="20" unbalanced="0"/>
    <cacheHierarchy uniqueName="[Enrollments_Table].[enroll_id]" caption="enroll_id" attribute="1" defaultMemberUniqueName="[Enrollments_Table].[enroll_id].[All]" allUniqueName="[Enrollments_Table].[enroll_id].[All]" dimensionUniqueName="[Enrollments_Table]" displayFolder="" count="0" memberValueDatatype="20" unbalanced="0"/>
    <cacheHierarchy uniqueName="[Enrollments_Table].[student_id]" caption="student_id" attribute="1" defaultMemberUniqueName="[Enrollments_Table].[student_id].[All]" allUniqueName="[Enrollments_Table].[student_id].[All]" dimensionUniqueName="[Enrollments_Table]" displayFolder="" count="2" memberValueDatatype="20" unbalanced="0"/>
    <cacheHierarchy uniqueName="[Enrollments_Table].[batch_id]" caption="batch_id" attribute="1" defaultMemberUniqueName="[Enrollments_Table].[batch_id].[All]" allUniqueName="[Enrollments_Table].[batch_id].[All]" dimensionUniqueName="[Enrollments_Table]" displayFolder="" count="0" memberValueDatatype="20" unbalanced="0"/>
    <cacheHierarchy uniqueName="[Enrollments_Table].[enroll_date]" caption="enroll_date" attribute="1" time="1" defaultMemberUniqueName="[Enrollments_Table].[enroll_date].[All]" allUniqueName="[Enrollments_Table].[enroll_date].[All]" dimensionUniqueName="[Enrollments_Table]" displayFolder="" count="0" memberValueDatatype="7" unbalanced="0"/>
    <cacheHierarchy uniqueName="[Enrollments_Table].[fees_paid]" caption="fees_paid" attribute="1" defaultMemberUniqueName="[Enrollments_Table].[fees_paid].[All]" allUniqueName="[Enrollments_Table].[fees_paid].[All]" dimensionUniqueName="[Enrollments_Table]" displayFolder="" count="0" memberValueDatatype="20" unbalanced="0"/>
    <cacheHierarchy uniqueName="[Enrollments_Table].[fees_generated]" caption="fees_generated" attribute="1" defaultMemberUniqueName="[Enrollments_Table].[fees_generated].[All]" allUniqueName="[Enrollments_Table].[fees_generated].[All]" dimensionUniqueName="[Enrollments_Table]" displayFolder="" count="0" memberValueDatatype="20" unbalanced="0"/>
    <cacheHierarchy uniqueName="[Enrollments_Table].[outstanding_fees]" caption="outstanding_fees" attribute="1" defaultMemberUniqueName="[Enrollments_Table].[outstanding_fees].[All]" allUniqueName="[Enrollments_Table].[outstanding_fees].[All]" dimensionUniqueName="[Enrollments_Table]" displayFolder="" count="0" memberValueDatatype="20" unbalanced="0"/>
    <cacheHierarchy uniqueName="[Payment_Table].[payment_id]" caption="payment_id" attribute="1" defaultMemberUniqueName="[Payment_Table].[payment_id].[All]" allUniqueName="[Payment_Table].[payment_id].[All]" dimensionUniqueName="[Payment_Table]" displayFolder="" count="0" memberValueDatatype="20" unbalanced="0"/>
    <cacheHierarchy uniqueName="[Payment_Table].[enroll_id]" caption="enroll_id" attribute="1" defaultMemberUniqueName="[Payment_Table].[enroll_id].[All]" allUniqueName="[Payment_Table].[enroll_id].[All]" dimensionUniqueName="[Payment_Table]" displayFolder="" count="0" memberValueDatatype="20" unbalanced="0"/>
    <cacheHierarchy uniqueName="[Payment_Table].[payment_date]" caption="payment_date" attribute="1" time="1" defaultMemberUniqueName="[Payment_Table].[payment_date].[All]" allUniqueName="[Payment_Table].[payment_date].[All]" dimensionUniqueName="[Payment_Table]" displayFolder="" count="0" memberValueDatatype="7" unbalanced="0"/>
    <cacheHierarchy uniqueName="[Payment_Table].[amount]" caption="amount" attribute="1" defaultMemberUniqueName="[Payment_Table].[amount].[All]" allUniqueName="[Payment_Table].[amount].[All]" dimensionUniqueName="[Payment_Table]" displayFolder="" count="0" memberValueDatatype="20" unbalanced="0"/>
    <cacheHierarchy uniqueName="[Payment_Table].[mode]" caption="mode" attribute="1" defaultMemberUniqueName="[Payment_Table].[mode].[All]" allUniqueName="[Payment_Table].[mode].[All]" dimensionUniqueName="[Payment_Table]" displayFolder="" count="0" memberValueDatatype="130" unbalanced="0"/>
    <cacheHierarchy uniqueName="[Student_Table].[student_id]" caption="student_id" attribute="1" defaultMemberUniqueName="[Student_Table].[student_id].[All]" allUniqueName="[Student_Table].[student_id].[All]" dimensionUniqueName="[Student_Table]" displayFolder="" count="2" memberValueDatatype="20" unbalanced="0"/>
    <cacheHierarchy uniqueName="[Student_Table].[first_name]" caption="first_name" attribute="1" defaultMemberUniqueName="[Student_Table].[first_name].[All]" allUniqueName="[Student_Table].[first_name].[All]" dimensionUniqueName="[Student_Table]" displayFolder="" count="2" memberValueDatatype="130" unbalanced="0"/>
    <cacheHierarchy uniqueName="[Student_Table].[last_name]" caption="last_name" attribute="1" defaultMemberUniqueName="[Student_Table].[last_name].[All]" allUniqueName="[Student_Table].[last_name].[All]" dimensionUniqueName="[Student_Table]" displayFolder="" count="0" memberValueDatatype="130" unbalanced="0"/>
    <cacheHierarchy uniqueName="[Student_Table].[city]" caption="city" attribute="1" defaultMemberUniqueName="[Student_Table].[city].[All]" allUniqueName="[Student_Table].[city].[All]" dimensionUniqueName="[Student_Table]" displayFolder="" count="2" memberValueDatatype="130" unbalanced="0">
      <fieldsUsage count="2">
        <fieldUsage x="-1"/>
        <fieldUsage x="0"/>
      </fieldsUsage>
    </cacheHierarchy>
    <cacheHierarchy uniqueName="[Student_Table].[phone]" caption="phone" attribute="1" defaultMemberUniqueName="[Student_Table].[phone].[All]" allUniqueName="[Student_Table].[phone].[All]" dimensionUniqueName="[Student_Table]" displayFolder="" count="0" memberValueDatatype="130" unbalanced="0"/>
    <cacheHierarchy uniqueName="[Student_Table].[full_name]" caption="full_name" attribute="1" defaultMemberUniqueName="[Student_Table].[full_name].[All]" allUniqueName="[Student_Table].[full_name].[All]" dimensionUniqueName="[Student_Table]" displayFolder="" count="0" memberValueDatatype="130" unbalanced="0"/>
    <cacheHierarchy uniqueName="[Student_Table].[total_enrolments]" caption="total_enrolments" attribute="1" defaultMemberUniqueName="[Student_Table].[total_enrolments].[All]" allUniqueName="[Student_Table].[total_enrolments].[All]" dimensionUniqueName="[Student_Table]" displayFolder="" count="0" memberValueDatatype="20" unbalanced="0"/>
    <cacheHierarchy uniqueName="[Teacher_Table].[teacher_id]" caption="teacher_id" attribute="1" defaultMemberUniqueName="[Teacher_Table].[teacher_id].[All]" allUniqueName="[Teacher_Table].[teacher_id].[All]" dimensionUniqueName="[Teacher_Table]" displayFolder="" count="0" memberValueDatatype="20" unbalanced="0"/>
    <cacheHierarchy uniqueName="[Teacher_Table].[teacher_name]" caption="teacher_name" attribute="1" defaultMemberUniqueName="[Teacher_Table].[teacher_name].[All]" allUniqueName="[Teacher_Table].[teacher_name].[All]" dimensionUniqueName="[Teacher_Table]" displayFolder="" count="0" memberValueDatatype="130" unbalanced="0"/>
    <cacheHierarchy uniqueName="[Teacher_Table].[expertise]" caption="expertise" attribute="1" defaultMemberUniqueName="[Teacher_Table].[expertise].[All]" allUniqueName="[Teacher_Table].[expertise].[All]" dimensionUniqueName="[Teacher_Table]" displayFolder="" count="0" memberValueDatatype="130" unbalanced="0"/>
    <cacheHierarchy uniqueName="[Teacher_Table].[base_city]" caption="base_city" attribute="1" defaultMemberUniqueName="[Teacher_Table].[base_city].[All]" allUniqueName="[Teacher_Table].[base_city].[All]" dimensionUniqueName="[Teacher_Table]" displayFolder="" count="0" memberValueDatatype="130" unbalanced="0"/>
    <cacheHierarchy uniqueName="[Teacher_Table].[monthly_salary]" caption="monthly_salary" attribute="1" defaultMemberUniqueName="[Teacher_Table].[monthly_salary].[All]" allUniqueName="[Teacher_Table].[monthly_salary].[All]" dimensionUniqueName="[Teacher_Table]" displayFolder="" count="0" memberValueDatatype="20" unbalanced="0"/>
    <cacheHierarchy uniqueName="[Measures].[__XL_Count Batch_Table]" caption="__XL_Count Batch_Table" measure="1" displayFolder="" measureGroup="Batch_Table" count="0" hidden="1"/>
    <cacheHierarchy uniqueName="[Measures].[__XL_Count Teacher_Table]" caption="__XL_Count Teacher_Table" measure="1" displayFolder="" measureGroup="Teacher_Table" count="0" hidden="1"/>
    <cacheHierarchy uniqueName="[Measures].[__XL_Count Course_Table]" caption="__XL_Count Course_Table" measure="1" displayFolder="" measureGroup="Course_Table" count="0" hidden="1"/>
    <cacheHierarchy uniqueName="[Measures].[__XL_Count Enrollments_Table]" caption="__XL_Count Enrollments_Table" measure="1" displayFolder="" measureGroup="Enrollments_Table" count="0" hidden="1"/>
    <cacheHierarchy uniqueName="[Measures].[__XL_Count Payment_Table]" caption="__XL_Count Payment_Table" measure="1" displayFolder="" measureGroup="Payment_Table" count="0" hidden="1"/>
    <cacheHierarchy uniqueName="[Measures].[__XL_Count Student_Table]" caption="__XL_Count Student_Table" measure="1" displayFolder="" measureGroup="Student_Table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Course_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rice]" caption="Sum of price" measure="1" displayFolder="" measureGroup="Course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ly_salary]" caption="Sum of monthly_salary" measure="1" displayFolder="" measureGroup="Teacher_Tabl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course_name]" caption="Count of course_name" measure="1" displayFolder="" measureGroup="Course_Tab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rice]" caption="Count of price" measure="1" displayFolder="" measureGroup="Course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price]" caption="Max of price" measure="1" displayFolder="" measureGroup="Course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batch_id]" caption="Sum of batch_id" measure="1" displayFolder="" measureGroup="Batch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days_per_week]" caption="Sum of days_per_week" measure="1" displayFolder="" measureGroup="Batch_Tab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urse_id]" caption="Sum of course_id" measure="1" displayFolder="" measureGroup="Batch_Tabl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ourse_id]" caption="Distinct Count of course_id" measure="1" displayFolder="" measureGroup="Batch_Tabl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Var of price]" caption="Var of price" measure="1" displayFolder="" measureGroup="Course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price]" caption="Min of price" measure="1" displayFolder="" measureGroup="Course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eacher_id]" caption="Sum of teacher_id" measure="1" displayFolder="" measureGroup="Batch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tart_date]" caption="Count of start_date" measure="1" displayFolder="" measureGroup="Batch_Tab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fees_paid]" caption="Sum of fees_paid" measure="1" displayFolder="" measureGroup="Enrollments_Tabl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ayment_id]" caption="Sum of payment_id" measure="1" displayFolder="" measureGroup="Payment_Tabl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mount]" caption="Sum of amount" measure="1" displayFolder="" measureGroup="Payment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7">
    <dimension name="Batch_Table" uniqueName="[Batch_Table]" caption="Batch_Table"/>
    <dimension name="Course_Table" uniqueName="[Course_Table]" caption="Course_Table"/>
    <dimension name="Enrollments_Table" uniqueName="[Enrollments_Table]" caption="Enrollments_Table"/>
    <dimension measure="1" name="Measures" uniqueName="[Measures]" caption="Measures"/>
    <dimension name="Payment_Table" uniqueName="[Payment_Table]" caption="Payment_Table"/>
    <dimension name="Student_Table" uniqueName="[Student_Table]" caption="Student_Table"/>
    <dimension name="Teacher_Table" uniqueName="[Teacher_Table]" caption="Teacher_Table"/>
  </dimensions>
  <measureGroups count="6">
    <measureGroup name="Batch_Table" caption="Batch_Table"/>
    <measureGroup name="Course_Table" caption="Course_Table"/>
    <measureGroup name="Enrollments_Table" caption="Enrollments_Table"/>
    <measureGroup name="Payment_Table" caption="Payment_Table"/>
    <measureGroup name="Student_Table" caption="Student_Table"/>
    <measureGroup name="Teacher_Table" caption="Teacher_Table"/>
  </measureGroups>
  <maps count="14">
    <map measureGroup="0" dimension="0"/>
    <map measureGroup="0" dimension="6"/>
    <map measureGroup="1" dimension="1"/>
    <map measureGroup="2" dimension="0"/>
    <map measureGroup="2" dimension="2"/>
    <map measureGroup="2" dimension="5"/>
    <map measureGroup="2" dimension="6"/>
    <map measureGroup="3" dimension="0"/>
    <map measureGroup="3" dimension="2"/>
    <map measureGroup="3" dimension="4"/>
    <map measureGroup="3" dimension="5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. EVANS (Knypersley First School)" refreshedDate="46050.665437847223" createdVersion="7" refreshedVersion="7" minRefreshableVersion="3" recordCount="36" xr:uid="{07E8D850-817D-4C3C-8970-CB7BA3B3EA31}">
  <cacheSource type="worksheet">
    <worksheetSource name="Enrollments_Table"/>
  </cacheSource>
  <cacheFields count="7">
    <cacheField name="enroll_id" numFmtId="0">
      <sharedItems containsSemiMixedTypes="0" containsString="0" containsNumber="1" containsInteger="1" minValue="1" maxValue="36"/>
    </cacheField>
    <cacheField name="student_id" numFmtId="0">
      <sharedItems containsSemiMixedTypes="0" containsString="0" containsNumber="1" containsInteger="1" minValue="1001" maxValue="1030"/>
    </cacheField>
    <cacheField name="batch_id" numFmtId="0">
      <sharedItems containsSemiMixedTypes="0" containsString="0" containsNumber="1" containsInteger="1" minValue="301" maxValue="312"/>
    </cacheField>
    <cacheField name="enroll_date" numFmtId="164">
      <sharedItems containsSemiMixedTypes="0" containsNonDate="0" containsDate="1" containsString="0" minDate="2025-01-08T00:00:00" maxDate="2025-03-03T00:00:00" count="28">
        <d v="2025-02-15T00:00:00"/>
        <d v="2025-01-19T00:00:00"/>
        <d v="2025-02-06T00:00:00"/>
        <d v="2025-02-27T00:00:00"/>
        <d v="2025-02-24T00:00:00"/>
        <d v="2025-01-24T00:00:00"/>
        <d v="2025-01-10T00:00:00"/>
        <d v="2025-02-04T00:00:00"/>
        <d v="2025-02-10T00:00:00"/>
        <d v="2025-02-20T00:00:00"/>
        <d v="2025-02-08T00:00:00"/>
        <d v="2025-01-09T00:00:00"/>
        <d v="2025-01-08T00:00:00"/>
        <d v="2025-02-16T00:00:00"/>
        <d v="2025-01-21T00:00:00"/>
        <d v="2025-01-17T00:00:00"/>
        <d v="2025-01-13T00:00:00"/>
        <d v="2025-02-17T00:00:00"/>
        <d v="2025-01-29T00:00:00"/>
        <d v="2025-01-26T00:00:00"/>
        <d v="2025-02-21T00:00:00"/>
        <d v="2025-01-18T00:00:00"/>
        <d v="2025-02-01T00:00:00"/>
        <d v="2025-01-28T00:00:00"/>
        <d v="2025-02-18T00:00:00"/>
        <d v="2025-03-02T00:00:00"/>
        <d v="2025-01-11T00:00:00"/>
        <d v="2025-03-01T00:00:00"/>
      </sharedItems>
      <fieldGroup base="3">
        <rangePr autoStart="0" groupBy="days" startDate="2025-01-06T00:00:00" endDate="2025-03-03T00:00:00" groupInterval="7"/>
        <groupItems count="10">
          <s v="&lt;06/01/2025"/>
          <s v="06/01/2025 - 12/01/2025"/>
          <s v="13/01/2025 - 19/01/2025"/>
          <s v="20/01/2025 - 26/01/2025"/>
          <s v="27/01/2025 - 02/02/2025"/>
          <s v="03/02/2025 - 09/02/2025"/>
          <s v="10/02/2025 - 16/02/2025"/>
          <s v="17/02/2025 - 23/02/2025"/>
          <s v="24/02/2025 - 02/03/2025"/>
          <s v="&gt;03/03/2025"/>
        </groupItems>
      </fieldGroup>
    </cacheField>
    <cacheField name="fees_paid" numFmtId="0">
      <sharedItems containsSemiMixedTypes="0" containsString="0" containsNumber="1" containsInteger="1" minValue="6000" maxValue="12000"/>
    </cacheField>
    <cacheField name="fees_generated" numFmtId="0">
      <sharedItems containsSemiMixedTypes="0" containsString="0" containsNumber="1" containsInteger="1" minValue="6000" maxValue="12000"/>
    </cacheField>
    <cacheField name="outstanding_fee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. EVANS (Knypersley First School)" refreshedDate="46050.677720601852" createdVersion="5" refreshedVersion="7" minRefreshableVersion="3" recordCount="0" supportSubquery="1" supportAdvancedDrill="1" xr:uid="{870DA78E-81FD-4F2B-8BC6-7DB053C86425}">
  <cacheSource type="external" connectionId="1"/>
  <cacheFields count="2">
    <cacheField name="[Teacher_Table].[teacher_name].[teacher_name]" caption="teacher_name" numFmtId="0" hierarchy="33" level="1">
      <sharedItems count="6">
        <s v="Ankita Singh"/>
        <s v="Bushra Sahik"/>
        <s v="Madhumitha Kumaran"/>
        <s v="Sakshi Thanai"/>
        <s v="Shubhanshu Shrivastava"/>
        <s v="Wasim Khan"/>
      </sharedItems>
    </cacheField>
    <cacheField name="[Measures].[Sum of amount]" caption="Sum of amount" numFmtId="0" hierarchy="60" level="32767"/>
  </cacheFields>
  <cacheHierarchies count="61">
    <cacheHierarchy uniqueName="[Batch_Table].[batch_id]" caption="batch_id" attribute="1" defaultMemberUniqueName="[Batch_Table].[batch_id].[All]" allUniqueName="[Batch_Table].[batch_id].[All]" dimensionUniqueName="[Batch_Table]" displayFolder="" count="0" memberValueDatatype="20" unbalanced="0"/>
    <cacheHierarchy uniqueName="[Batch_Table].[course_id]" caption="course_id" attribute="1" defaultMemberUniqueName="[Batch_Table].[course_id].[All]" allUniqueName="[Batch_Table].[course_id].[All]" dimensionUniqueName="[Batch_Table]" displayFolder="" count="0" memberValueDatatype="20" unbalanced="0"/>
    <cacheHierarchy uniqueName="[Batch_Table].[teacher_id]" caption="teacher_id" attribute="1" defaultMemberUniqueName="[Batch_Table].[teacher_id].[All]" allUniqueName="[Batch_Table].[teacher_id].[All]" dimensionUniqueName="[Batch_Table]" displayFolder="" count="0" memberValueDatatype="20" unbalanced="0"/>
    <cacheHierarchy uniqueName="[Batch_Table].[start_date]" caption="start_date" attribute="1" time="1" defaultMemberUniqueName="[Batch_Table].[start_date].[All]" allUniqueName="[Batch_Table].[start_date].[All]" dimensionUniqueName="[Batch_Table]" displayFolder="" count="0" memberValueDatatype="7" unbalanced="0"/>
    <cacheHierarchy uniqueName="[Batch_Table].[days_per_week]" caption="days_per_week" attribute="1" defaultMemberUniqueName="[Batch_Table].[days_per_week].[All]" allUniqueName="[Batch_Table].[days_per_week].[All]" dimensionUniqueName="[Batch_Table]" displayFolder="" count="0" memberValueDatatype="20" unbalanced="0"/>
    <cacheHierarchy uniqueName="[Batch_Table].[time_slot]" caption="time_slot" attribute="1" defaultMemberUniqueName="[Batch_Table].[time_slot].[All]" allUniqueName="[Batch_Table].[time_slot].[All]" dimensionUniqueName="[Batch_Table]" displayFolder="" count="0" memberValueDatatype="130" unbalanced="0"/>
    <cacheHierarchy uniqueName="[Batch_Table].[no_enrolled_batch]" caption="no_enrolled_batch" attribute="1" defaultMemberUniqueName="[Batch_Table].[no_enrolled_batch].[All]" allUniqueName="[Batch_Table].[no_enrolled_batch].[All]" dimensionUniqueName="[Batch_Table]" displayFolder="" count="0" memberValueDatatype="20" unbalanced="0"/>
    <cacheHierarchy uniqueName="[Course_Table].[course_id]" caption="course_id" attribute="1" defaultMemberUniqueName="[Course_Table].[course_id].[All]" allUniqueName="[Course_Table].[course_id].[All]" dimensionUniqueName="[Course_Table]" displayFolder="" count="0" memberValueDatatype="20" unbalanced="0"/>
    <cacheHierarchy uniqueName="[Course_Table].[course_name]" caption="course_name" attribute="1" defaultMemberUniqueName="[Course_Table].[course_name].[All]" allUniqueName="[Course_Table].[course_name].[All]" dimensionUniqueName="[Course_Table]" displayFolder="" count="0" memberValueDatatype="130" unbalanced="0"/>
    <cacheHierarchy uniqueName="[Course_Table].[duration_weeks]" caption="duration_weeks" attribute="1" defaultMemberUniqueName="[Course_Table].[duration_weeks].[All]" allUniqueName="[Course_Table].[duration_weeks].[All]" dimensionUniqueName="[Course_Table]" displayFolder="" count="0" memberValueDatatype="20" unbalanced="0"/>
    <cacheHierarchy uniqueName="[Course_Table].[price]" caption="price" attribute="1" defaultMemberUniqueName="[Course_Table].[price].[All]" allUniqueName="[Course_Table].[price].[All]" dimensionUniqueName="[Course_Table]" displayFolder="" count="0" memberValueDatatype="20" unbalanced="0"/>
    <cacheHierarchy uniqueName="[Course_Table].[no_enrolled]" caption="no_enrolled" attribute="1" defaultMemberUniqueName="[Course_Table].[no_enrolled].[All]" allUniqueName="[Course_Table].[no_enrolled].[All]" dimensionUniqueName="[Course_Table]" displayFolder="" count="0" memberValueDatatype="20" unbalanced="0"/>
    <cacheHierarchy uniqueName="[Course_Table].[total_amount]" caption="total_amount" attribute="1" defaultMemberUniqueName="[Course_Table].[total_amount].[All]" allUniqueName="[Course_Table].[total_amount].[All]" dimensionUniqueName="[Course_Table]" displayFolder="" count="0" memberValueDatatype="20" unbalanced="0"/>
    <cacheHierarchy uniqueName="[Enrollments_Table].[enroll_id]" caption="enroll_id" attribute="1" defaultMemberUniqueName="[Enrollments_Table].[enroll_id].[All]" allUniqueName="[Enrollments_Table].[enroll_id].[All]" dimensionUniqueName="[Enrollments_Table]" displayFolder="" count="0" memberValueDatatype="20" unbalanced="0"/>
    <cacheHierarchy uniqueName="[Enrollments_Table].[student_id]" caption="student_id" attribute="1" defaultMemberUniqueName="[Enrollments_Table].[student_id].[All]" allUniqueName="[Enrollments_Table].[student_id].[All]" dimensionUniqueName="[Enrollments_Table]" displayFolder="" count="0" memberValueDatatype="20" unbalanced="0"/>
    <cacheHierarchy uniqueName="[Enrollments_Table].[batch_id]" caption="batch_id" attribute="1" defaultMemberUniqueName="[Enrollments_Table].[batch_id].[All]" allUniqueName="[Enrollments_Table].[batch_id].[All]" dimensionUniqueName="[Enrollments_Table]" displayFolder="" count="0" memberValueDatatype="20" unbalanced="0"/>
    <cacheHierarchy uniqueName="[Enrollments_Table].[enroll_date]" caption="enroll_date" attribute="1" time="1" defaultMemberUniqueName="[Enrollments_Table].[enroll_date].[All]" allUniqueName="[Enrollments_Table].[enroll_date].[All]" dimensionUniqueName="[Enrollments_Table]" displayFolder="" count="0" memberValueDatatype="7" unbalanced="0"/>
    <cacheHierarchy uniqueName="[Enrollments_Table].[fees_paid]" caption="fees_paid" attribute="1" defaultMemberUniqueName="[Enrollments_Table].[fees_paid].[All]" allUniqueName="[Enrollments_Table].[fees_paid].[All]" dimensionUniqueName="[Enrollments_Table]" displayFolder="" count="0" memberValueDatatype="20" unbalanced="0"/>
    <cacheHierarchy uniqueName="[Enrollments_Table].[fees_generated]" caption="fees_generated" attribute="1" defaultMemberUniqueName="[Enrollments_Table].[fees_generated].[All]" allUniqueName="[Enrollments_Table].[fees_generated].[All]" dimensionUniqueName="[Enrollments_Table]" displayFolder="" count="0" memberValueDatatype="20" unbalanced="0"/>
    <cacheHierarchy uniqueName="[Enrollments_Table].[outstanding_fees]" caption="outstanding_fees" attribute="1" defaultMemberUniqueName="[Enrollments_Table].[outstanding_fees].[All]" allUniqueName="[Enrollments_Table].[outstanding_fees].[All]" dimensionUniqueName="[Enrollments_Table]" displayFolder="" count="0" memberValueDatatype="20" unbalanced="0"/>
    <cacheHierarchy uniqueName="[Payment_Table].[payment_id]" caption="payment_id" attribute="1" defaultMemberUniqueName="[Payment_Table].[payment_id].[All]" allUniqueName="[Payment_Table].[payment_id].[All]" dimensionUniqueName="[Payment_Table]" displayFolder="" count="0" memberValueDatatype="20" unbalanced="0"/>
    <cacheHierarchy uniqueName="[Payment_Table].[enroll_id]" caption="enroll_id" attribute="1" defaultMemberUniqueName="[Payment_Table].[enroll_id].[All]" allUniqueName="[Payment_Table].[enroll_id].[All]" dimensionUniqueName="[Payment_Table]" displayFolder="" count="0" memberValueDatatype="20" unbalanced="0"/>
    <cacheHierarchy uniqueName="[Payment_Table].[payment_date]" caption="payment_date" attribute="1" time="1" defaultMemberUniqueName="[Payment_Table].[payment_date].[All]" allUniqueName="[Payment_Table].[payment_date].[All]" dimensionUniqueName="[Payment_Table]" displayFolder="" count="0" memberValueDatatype="7" unbalanced="0"/>
    <cacheHierarchy uniqueName="[Payment_Table].[amount]" caption="amount" attribute="1" defaultMemberUniqueName="[Payment_Table].[amount].[All]" allUniqueName="[Payment_Table].[amount].[All]" dimensionUniqueName="[Payment_Table]" displayFolder="" count="2" memberValueDatatype="20" unbalanced="0"/>
    <cacheHierarchy uniqueName="[Payment_Table].[mode]" caption="mode" attribute="1" defaultMemberUniqueName="[Payment_Table].[mode].[All]" allUniqueName="[Payment_Table].[mode].[All]" dimensionUniqueName="[Payment_Table]" displayFolder="" count="0" memberValueDatatype="130" unbalanced="0"/>
    <cacheHierarchy uniqueName="[Student_Table].[student_id]" caption="student_id" attribute="1" defaultMemberUniqueName="[Student_Table].[student_id].[All]" allUniqueName="[Student_Table].[student_id].[All]" dimensionUniqueName="[Student_Table]" displayFolder="" count="0" memberValueDatatype="20" unbalanced="0"/>
    <cacheHierarchy uniqueName="[Student_Table].[first_name]" caption="first_name" attribute="1" defaultMemberUniqueName="[Student_Table].[first_name].[All]" allUniqueName="[Student_Table].[first_name].[All]" dimensionUniqueName="[Student_Table]" displayFolder="" count="0" memberValueDatatype="130" unbalanced="0"/>
    <cacheHierarchy uniqueName="[Student_Table].[last_name]" caption="last_name" attribute="1" defaultMemberUniqueName="[Student_Table].[last_name].[All]" allUniqueName="[Student_Table].[last_name].[All]" dimensionUniqueName="[Student_Table]" displayFolder="" count="0" memberValueDatatype="130" unbalanced="0"/>
    <cacheHierarchy uniqueName="[Student_Table].[city]" caption="city" attribute="1" defaultMemberUniqueName="[Student_Table].[city].[All]" allUniqueName="[Student_Table].[city].[All]" dimensionUniqueName="[Student_Table]" displayFolder="" count="0" memberValueDatatype="130" unbalanced="0"/>
    <cacheHierarchy uniqueName="[Student_Table].[phone]" caption="phone" attribute="1" defaultMemberUniqueName="[Student_Table].[phone].[All]" allUniqueName="[Student_Table].[phone].[All]" dimensionUniqueName="[Student_Table]" displayFolder="" count="0" memberValueDatatype="130" unbalanced="0"/>
    <cacheHierarchy uniqueName="[Student_Table].[full_name]" caption="full_name" attribute="1" defaultMemberUniqueName="[Student_Table].[full_name].[All]" allUniqueName="[Student_Table].[full_name].[All]" dimensionUniqueName="[Student_Table]" displayFolder="" count="0" memberValueDatatype="130" unbalanced="0"/>
    <cacheHierarchy uniqueName="[Student_Table].[total_enrolments]" caption="total_enrolments" attribute="1" defaultMemberUniqueName="[Student_Table].[total_enrolments].[All]" allUniqueName="[Student_Table].[total_enrolments].[All]" dimensionUniqueName="[Student_Table]" displayFolder="" count="0" memberValueDatatype="20" unbalanced="0"/>
    <cacheHierarchy uniqueName="[Teacher_Table].[teacher_id]" caption="teacher_id" attribute="1" defaultMemberUniqueName="[Teacher_Table].[teacher_id].[All]" allUniqueName="[Teacher_Table].[teacher_id].[All]" dimensionUniqueName="[Teacher_Table]" displayFolder="" count="0" memberValueDatatype="20" unbalanced="0"/>
    <cacheHierarchy uniqueName="[Teacher_Table].[teacher_name]" caption="teacher_name" attribute="1" defaultMemberUniqueName="[Teacher_Table].[teacher_name].[All]" allUniqueName="[Teacher_Table].[teacher_name].[All]" dimensionUniqueName="[Teacher_Table]" displayFolder="" count="2" memberValueDatatype="130" unbalanced="0">
      <fieldsUsage count="2">
        <fieldUsage x="-1"/>
        <fieldUsage x="0"/>
      </fieldsUsage>
    </cacheHierarchy>
    <cacheHierarchy uniqueName="[Teacher_Table].[expertise]" caption="expertise" attribute="1" defaultMemberUniqueName="[Teacher_Table].[expertise].[All]" allUniqueName="[Teacher_Table].[expertise].[All]" dimensionUniqueName="[Teacher_Table]" displayFolder="" count="0" memberValueDatatype="130" unbalanced="0"/>
    <cacheHierarchy uniqueName="[Teacher_Table].[base_city]" caption="base_city" attribute="1" defaultMemberUniqueName="[Teacher_Table].[base_city].[All]" allUniqueName="[Teacher_Table].[base_city].[All]" dimensionUniqueName="[Teacher_Table]" displayFolder="" count="0" memberValueDatatype="130" unbalanced="0"/>
    <cacheHierarchy uniqueName="[Teacher_Table].[monthly_salary]" caption="monthly_salary" attribute="1" defaultMemberUniqueName="[Teacher_Table].[monthly_salary].[All]" allUniqueName="[Teacher_Table].[monthly_salary].[All]" dimensionUniqueName="[Teacher_Table]" displayFolder="" count="0" memberValueDatatype="20" unbalanced="0"/>
    <cacheHierarchy uniqueName="[Measures].[__XL_Count Batch_Table]" caption="__XL_Count Batch_Table" measure="1" displayFolder="" measureGroup="Batch_Table" count="0" hidden="1"/>
    <cacheHierarchy uniqueName="[Measures].[__XL_Count Teacher_Table]" caption="__XL_Count Teacher_Table" measure="1" displayFolder="" measureGroup="Teacher_Table" count="0" hidden="1"/>
    <cacheHierarchy uniqueName="[Measures].[__XL_Count Course_Table]" caption="__XL_Count Course_Table" measure="1" displayFolder="" measureGroup="Course_Table" count="0" hidden="1"/>
    <cacheHierarchy uniqueName="[Measures].[__XL_Count Enrollments_Table]" caption="__XL_Count Enrollments_Table" measure="1" displayFolder="" measureGroup="Enrollments_Table" count="0" hidden="1"/>
    <cacheHierarchy uniqueName="[Measures].[__XL_Count Payment_Table]" caption="__XL_Count Payment_Table" measure="1" displayFolder="" measureGroup="Payment_Table" count="0" hidden="1"/>
    <cacheHierarchy uniqueName="[Measures].[__XL_Count Student_Table]" caption="__XL_Count Student_Table" measure="1" displayFolder="" measureGroup="Student_Table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Course_Tabl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rice]" caption="Sum of price" measure="1" displayFolder="" measureGroup="Course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monthly_salary]" caption="Sum of monthly_salary" measure="1" displayFolder="" measureGroup="Teacher_Table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Count of course_name]" caption="Count of course_name" measure="1" displayFolder="" measureGroup="Course_Tabl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price]" caption="Count of price" measure="1" displayFolder="" measureGroup="Course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price]" caption="Max of price" measure="1" displayFolder="" measureGroup="Course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batch_id]" caption="Sum of batch_id" measure="1" displayFolder="" measureGroup="Batch_Tabl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days_per_week]" caption="Sum of days_per_week" measure="1" displayFolder="" measureGroup="Batch_Tabl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course_id]" caption="Sum of course_id" measure="1" displayFolder="" measureGroup="Batch_Tabl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course_id]" caption="Distinct Count of course_id" measure="1" displayFolder="" measureGroup="Batch_Tabl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Var of price]" caption="Var of price" measure="1" displayFolder="" measureGroup="Course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price]" caption="Min of price" measure="1" displayFolder="" measureGroup="Course_Tabl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eacher_id]" caption="Sum of teacher_id" measure="1" displayFolder="" measureGroup="Batch_Tabl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start_date]" caption="Count of start_date" measure="1" displayFolder="" measureGroup="Batch_Tabl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fees_paid]" caption="Sum of fees_paid" measure="1" displayFolder="" measureGroup="Enrollments_Tabl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ayment_id]" caption="Sum of payment_id" measure="1" displayFolder="" measureGroup="Payment_Table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amount]" caption="Sum of amount" measure="1" displayFolder="" measureGroup="Payment_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7">
    <dimension name="Batch_Table" uniqueName="[Batch_Table]" caption="Batch_Table"/>
    <dimension name="Course_Table" uniqueName="[Course_Table]" caption="Course_Table"/>
    <dimension name="Enrollments_Table" uniqueName="[Enrollments_Table]" caption="Enrollments_Table"/>
    <dimension measure="1" name="Measures" uniqueName="[Measures]" caption="Measures"/>
    <dimension name="Payment_Table" uniqueName="[Payment_Table]" caption="Payment_Table"/>
    <dimension name="Student_Table" uniqueName="[Student_Table]" caption="Student_Table"/>
    <dimension name="Teacher_Table" uniqueName="[Teacher_Table]" caption="Teacher_Table"/>
  </dimensions>
  <measureGroups count="6">
    <measureGroup name="Batch_Table" caption="Batch_Table"/>
    <measureGroup name="Course_Table" caption="Course_Table"/>
    <measureGroup name="Enrollments_Table" caption="Enrollments_Table"/>
    <measureGroup name="Payment_Table" caption="Payment_Table"/>
    <measureGroup name="Student_Table" caption="Student_Table"/>
    <measureGroup name="Teacher_Table" caption="Teacher_Table"/>
  </measureGroups>
  <maps count="14">
    <map measureGroup="0" dimension="0"/>
    <map measureGroup="0" dimension="6"/>
    <map measureGroup="1" dimension="1"/>
    <map measureGroup="2" dimension="0"/>
    <map measureGroup="2" dimension="2"/>
    <map measureGroup="2" dimension="5"/>
    <map measureGroup="2" dimension="6"/>
    <map measureGroup="3" dimension="0"/>
    <map measureGroup="3" dimension="2"/>
    <map measureGroup="3" dimension="4"/>
    <map measureGroup="3" dimension="5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Zara"/>
    <s v="Bansal"/>
    <x v="0"/>
    <s v="905683403"/>
    <s v="Zara Bansal"/>
  </r>
  <r>
    <x v="1"/>
    <s v="Anika"/>
    <s v="Bansal"/>
    <x v="0"/>
    <s v="903536826"/>
    <s v="Anika Bansal"/>
  </r>
  <r>
    <x v="2"/>
    <s v="Meera"/>
    <s v="Singh"/>
    <x v="1"/>
    <s v="906128400"/>
    <s v="Meera Singh"/>
  </r>
  <r>
    <x v="3"/>
    <s v="Aman"/>
    <s v="Roy"/>
    <x v="2"/>
    <s v="908595563"/>
    <s v="Aman Roy"/>
  </r>
  <r>
    <x v="4"/>
    <s v="Riya"/>
    <s v="Roy"/>
    <x v="3"/>
    <s v="902085257"/>
    <s v="Riya Roy"/>
  </r>
  <r>
    <x v="5"/>
    <s v="Nina"/>
    <s v="Bose"/>
    <x v="0"/>
    <s v="903900236"/>
    <s v="Nina Bose"/>
  </r>
  <r>
    <x v="6"/>
    <s v="Sana"/>
    <s v="Singh"/>
    <x v="0"/>
    <s v="904446019"/>
    <s v="Sana Singh"/>
  </r>
  <r>
    <x v="7"/>
    <s v="Arjun"/>
    <s v="Sharma"/>
    <x v="0"/>
    <s v="903641966"/>
    <s v="Arjun Sharma"/>
  </r>
  <r>
    <x v="8"/>
    <s v="Veer"/>
    <s v="Malik"/>
    <x v="3"/>
    <s v="909876110"/>
    <s v="Veer Malik"/>
  </r>
  <r>
    <x v="9"/>
    <s v="Meera"/>
    <s v="Shah"/>
    <x v="4"/>
    <s v="904903188"/>
    <s v="Meera Shah"/>
  </r>
  <r>
    <x v="10"/>
    <s v="Tara"/>
    <s v="Sharma"/>
    <x v="5"/>
    <s v="903721212"/>
    <s v="Tara Sharma"/>
  </r>
  <r>
    <x v="11"/>
    <s v="Sana"/>
    <s v="Gupta"/>
    <x v="2"/>
    <s v="905993275"/>
    <s v="Sana Gupta"/>
  </r>
  <r>
    <x v="12"/>
    <s v="Mira"/>
    <s v="Roy"/>
    <x v="6"/>
    <s v="901112099"/>
    <s v="Mira Roy"/>
  </r>
  <r>
    <x v="13"/>
    <s v="Meera"/>
    <s v="Kapoor"/>
    <x v="2"/>
    <s v="902926384"/>
    <s v="Meera Kapoor"/>
  </r>
  <r>
    <x v="14"/>
    <s v="Tara"/>
    <s v="Reddy"/>
    <x v="6"/>
    <s v="903201480"/>
    <s v="Tara Reddy"/>
  </r>
  <r>
    <x v="15"/>
    <s v="Sara"/>
    <s v="Mehta"/>
    <x v="2"/>
    <s v="905772762"/>
    <s v="Sara Mehta"/>
  </r>
  <r>
    <x v="16"/>
    <s v="Ayaan"/>
    <s v="Patel"/>
    <x v="5"/>
    <s v="900546554"/>
    <s v="Ayaan Patel"/>
  </r>
  <r>
    <x v="17"/>
    <s v="Mira"/>
    <s v="Reddy"/>
    <x v="2"/>
    <s v="903198167"/>
    <s v="Mira Reddy"/>
  </r>
  <r>
    <x v="18"/>
    <s v="Arjun"/>
    <s v="Kapoor"/>
    <x v="6"/>
    <s v="906672423"/>
    <s v="Arjun Kapoor"/>
  </r>
  <r>
    <x v="19"/>
    <s v="Aisha"/>
    <s v="Bose"/>
    <x v="1"/>
    <s v="907013507"/>
    <s v="Aisha Bose"/>
  </r>
  <r>
    <x v="20"/>
    <s v="Anika"/>
    <s v="Khan"/>
    <x v="4"/>
    <s v="909467788"/>
    <s v="Anika Khan"/>
  </r>
  <r>
    <x v="21"/>
    <s v="Ira"/>
    <s v="Khan"/>
    <x v="1"/>
    <s v="905616076"/>
    <s v="Ira Khan"/>
  </r>
  <r>
    <x v="22"/>
    <s v="Arjun"/>
    <s v="Roy"/>
    <x v="6"/>
    <s v="900600911"/>
    <s v="Arjun Roy"/>
  </r>
  <r>
    <x v="23"/>
    <s v="Neha"/>
    <s v="Khan"/>
    <x v="7"/>
    <s v="902506525"/>
    <s v="Neha Khan"/>
  </r>
  <r>
    <x v="24"/>
    <s v="Aarav"/>
    <s v="Sharma"/>
    <x v="2"/>
    <s v="908842888"/>
    <s v="Aarav Sharma"/>
  </r>
  <r>
    <x v="25"/>
    <s v="Om"/>
    <s v="Verma"/>
    <x v="7"/>
    <s v="907938614"/>
    <s v="Om Verma"/>
  </r>
  <r>
    <x v="26"/>
    <s v="Sana"/>
    <s v="Sharma"/>
    <x v="7"/>
    <s v="908675701"/>
    <s v="Sana Sharma"/>
  </r>
  <r>
    <x v="27"/>
    <s v="Ayaan"/>
    <s v="Sharma"/>
    <x v="4"/>
    <s v="906228678"/>
    <s v="Ayaan Sharma"/>
  </r>
  <r>
    <x v="28"/>
    <s v="Aisha"/>
    <s v="Mehta"/>
    <x v="0"/>
    <s v="900192149"/>
    <s v="Aisha Mehta"/>
  </r>
  <r>
    <x v="29"/>
    <s v="Nina"/>
    <s v="Shah"/>
    <x v="2"/>
    <s v="900675884"/>
    <s v="Nina Shah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n v="1"/>
    <x v="0"/>
    <x v="0"/>
    <x v="0"/>
  </r>
  <r>
    <n v="2"/>
    <n v="1"/>
    <x v="1"/>
    <x v="0"/>
    <x v="1"/>
  </r>
  <r>
    <n v="3"/>
    <n v="2"/>
    <x v="2"/>
    <x v="1"/>
    <x v="1"/>
  </r>
  <r>
    <n v="4"/>
    <n v="3"/>
    <x v="3"/>
    <x v="0"/>
    <x v="2"/>
  </r>
  <r>
    <n v="5"/>
    <n v="3"/>
    <x v="4"/>
    <x v="0"/>
    <x v="3"/>
  </r>
  <r>
    <n v="6"/>
    <n v="4"/>
    <x v="5"/>
    <x v="0"/>
    <x v="1"/>
  </r>
  <r>
    <n v="7"/>
    <n v="4"/>
    <x v="6"/>
    <x v="0"/>
    <x v="3"/>
  </r>
  <r>
    <n v="8"/>
    <n v="5"/>
    <x v="7"/>
    <x v="0"/>
    <x v="2"/>
  </r>
  <r>
    <n v="9"/>
    <n v="5"/>
    <x v="8"/>
    <x v="0"/>
    <x v="0"/>
  </r>
  <r>
    <n v="10"/>
    <n v="6"/>
    <x v="9"/>
    <x v="2"/>
    <x v="3"/>
  </r>
  <r>
    <n v="11"/>
    <n v="6"/>
    <x v="10"/>
    <x v="2"/>
    <x v="2"/>
  </r>
  <r>
    <n v="12"/>
    <n v="7"/>
    <x v="11"/>
    <x v="0"/>
    <x v="3"/>
  </r>
  <r>
    <n v="13"/>
    <n v="8"/>
    <x v="0"/>
    <x v="0"/>
    <x v="1"/>
  </r>
  <r>
    <n v="14"/>
    <n v="8"/>
    <x v="1"/>
    <x v="0"/>
    <x v="3"/>
  </r>
  <r>
    <n v="15"/>
    <n v="9"/>
    <x v="12"/>
    <x v="3"/>
    <x v="0"/>
  </r>
  <r>
    <n v="16"/>
    <n v="9"/>
    <x v="13"/>
    <x v="3"/>
    <x v="1"/>
  </r>
  <r>
    <n v="17"/>
    <n v="10"/>
    <x v="14"/>
    <x v="0"/>
    <x v="0"/>
  </r>
  <r>
    <n v="18"/>
    <n v="10"/>
    <x v="15"/>
    <x v="0"/>
    <x v="0"/>
  </r>
  <r>
    <n v="19"/>
    <n v="11"/>
    <x v="16"/>
    <x v="4"/>
    <x v="0"/>
  </r>
  <r>
    <n v="20"/>
    <n v="12"/>
    <x v="17"/>
    <x v="0"/>
    <x v="3"/>
  </r>
  <r>
    <n v="21"/>
    <n v="13"/>
    <x v="18"/>
    <x v="4"/>
    <x v="2"/>
  </r>
  <r>
    <n v="22"/>
    <n v="14"/>
    <x v="19"/>
    <x v="4"/>
    <x v="1"/>
  </r>
  <r>
    <n v="23"/>
    <n v="15"/>
    <x v="20"/>
    <x v="5"/>
    <x v="0"/>
  </r>
  <r>
    <n v="24"/>
    <n v="15"/>
    <x v="21"/>
    <x v="5"/>
    <x v="0"/>
  </r>
  <r>
    <n v="25"/>
    <n v="16"/>
    <x v="22"/>
    <x v="4"/>
    <x v="1"/>
  </r>
  <r>
    <n v="26"/>
    <n v="17"/>
    <x v="23"/>
    <x v="2"/>
    <x v="1"/>
  </r>
  <r>
    <n v="27"/>
    <n v="17"/>
    <x v="9"/>
    <x v="2"/>
    <x v="0"/>
  </r>
  <r>
    <n v="28"/>
    <n v="18"/>
    <x v="24"/>
    <x v="0"/>
    <x v="1"/>
  </r>
  <r>
    <n v="29"/>
    <n v="19"/>
    <x v="15"/>
    <x v="6"/>
    <x v="2"/>
  </r>
  <r>
    <n v="30"/>
    <n v="20"/>
    <x v="25"/>
    <x v="6"/>
    <x v="0"/>
  </r>
  <r>
    <n v="31"/>
    <n v="21"/>
    <x v="26"/>
    <x v="0"/>
    <x v="2"/>
  </r>
  <r>
    <n v="32"/>
    <n v="22"/>
    <x v="26"/>
    <x v="5"/>
    <x v="2"/>
  </r>
  <r>
    <n v="33"/>
    <n v="22"/>
    <x v="27"/>
    <x v="5"/>
    <x v="1"/>
  </r>
  <r>
    <n v="34"/>
    <n v="23"/>
    <x v="16"/>
    <x v="6"/>
    <x v="2"/>
  </r>
  <r>
    <n v="35"/>
    <n v="24"/>
    <x v="20"/>
    <x v="0"/>
    <x v="1"/>
  </r>
  <r>
    <n v="36"/>
    <n v="25"/>
    <x v="28"/>
    <x v="1"/>
    <x v="2"/>
  </r>
  <r>
    <n v="37"/>
    <n v="26"/>
    <x v="18"/>
    <x v="4"/>
    <x v="1"/>
  </r>
  <r>
    <n v="38"/>
    <n v="27"/>
    <x v="29"/>
    <x v="4"/>
    <x v="0"/>
  </r>
  <r>
    <n v="39"/>
    <n v="28"/>
    <x v="11"/>
    <x v="6"/>
    <x v="3"/>
  </r>
  <r>
    <n v="40"/>
    <n v="29"/>
    <x v="11"/>
    <x v="0"/>
    <x v="3"/>
  </r>
  <r>
    <n v="41"/>
    <n v="29"/>
    <x v="23"/>
    <x v="0"/>
    <x v="0"/>
  </r>
  <r>
    <n v="42"/>
    <n v="30"/>
    <x v="30"/>
    <x v="4"/>
    <x v="2"/>
  </r>
  <r>
    <n v="43"/>
    <n v="31"/>
    <x v="31"/>
    <x v="1"/>
    <x v="0"/>
  </r>
  <r>
    <n v="44"/>
    <n v="32"/>
    <x v="32"/>
    <x v="4"/>
    <x v="2"/>
  </r>
  <r>
    <n v="45"/>
    <n v="33"/>
    <x v="33"/>
    <x v="0"/>
    <x v="2"/>
  </r>
  <r>
    <n v="46"/>
    <n v="34"/>
    <x v="9"/>
    <x v="2"/>
    <x v="3"/>
  </r>
  <r>
    <n v="47"/>
    <n v="34"/>
    <x v="10"/>
    <x v="2"/>
    <x v="2"/>
  </r>
  <r>
    <n v="48"/>
    <n v="35"/>
    <x v="34"/>
    <x v="3"/>
    <x v="3"/>
  </r>
  <r>
    <n v="49"/>
    <n v="35"/>
    <x v="29"/>
    <x v="3"/>
    <x v="2"/>
  </r>
  <r>
    <n v="50"/>
    <n v="36"/>
    <x v="35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1"/>
    <x v="0"/>
    <n v="12"/>
    <n v="6000"/>
    <n v="9"/>
    <n v="54000"/>
  </r>
  <r>
    <n v="202"/>
    <x v="1"/>
    <n v="12"/>
    <n v="7500"/>
    <n v="5"/>
    <n v="37500"/>
  </r>
  <r>
    <n v="203"/>
    <x v="2"/>
    <n v="16"/>
    <n v="12000"/>
    <n v="5"/>
    <n v="60000"/>
  </r>
  <r>
    <n v="204"/>
    <x v="3"/>
    <n v="16"/>
    <n v="12000"/>
    <n v="10"/>
    <n v="120000"/>
  </r>
  <r>
    <n v="205"/>
    <x v="4"/>
    <n v="12"/>
    <n v="9000"/>
    <n v="3"/>
    <n v="27000"/>
  </r>
  <r>
    <n v="206"/>
    <x v="5"/>
    <n v="12"/>
    <n v="9000"/>
    <n v="4"/>
    <n v="36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1"/>
    <n v="1001"/>
    <n v="307"/>
    <x v="0"/>
    <n v="12000"/>
    <n v="12000"/>
    <n v="0"/>
  </r>
  <r>
    <n v="2"/>
    <n v="1002"/>
    <n v="304"/>
    <x v="1"/>
    <n v="7500"/>
    <n v="7500"/>
    <n v="0"/>
  </r>
  <r>
    <n v="3"/>
    <n v="1003"/>
    <n v="306"/>
    <x v="2"/>
    <n v="12000"/>
    <n v="12000"/>
    <n v="0"/>
  </r>
  <r>
    <n v="4"/>
    <n v="1004"/>
    <n v="307"/>
    <x v="3"/>
    <n v="12000"/>
    <n v="12000"/>
    <n v="0"/>
  </r>
  <r>
    <n v="5"/>
    <n v="1005"/>
    <n v="308"/>
    <x v="4"/>
    <n v="12000"/>
    <n v="12000"/>
    <n v="0"/>
  </r>
  <r>
    <n v="6"/>
    <n v="1005"/>
    <n v="312"/>
    <x v="5"/>
    <n v="9000"/>
    <n v="9000"/>
    <n v="0"/>
  </r>
  <r>
    <n v="7"/>
    <n v="1006"/>
    <n v="302"/>
    <x v="6"/>
    <n v="6000"/>
    <n v="6000"/>
    <n v="0"/>
  </r>
  <r>
    <n v="8"/>
    <n v="1007"/>
    <n v="308"/>
    <x v="0"/>
    <n v="12000"/>
    <n v="12000"/>
    <n v="0"/>
  </r>
  <r>
    <n v="9"/>
    <n v="1007"/>
    <n v="302"/>
    <x v="7"/>
    <n v="6000"/>
    <n v="6000"/>
    <n v="0"/>
  </r>
  <r>
    <n v="10"/>
    <n v="1008"/>
    <n v="305"/>
    <x v="8"/>
    <n v="12000"/>
    <n v="12000"/>
    <n v="0"/>
  </r>
  <r>
    <n v="11"/>
    <n v="1009"/>
    <n v="308"/>
    <x v="9"/>
    <n v="12000"/>
    <n v="12000"/>
    <n v="0"/>
  </r>
  <r>
    <n v="12"/>
    <n v="1010"/>
    <n v="301"/>
    <x v="10"/>
    <n v="6000"/>
    <n v="6000"/>
    <n v="0"/>
  </r>
  <r>
    <n v="13"/>
    <n v="1011"/>
    <n v="308"/>
    <x v="11"/>
    <n v="12000"/>
    <n v="12000"/>
    <n v="0"/>
  </r>
  <r>
    <n v="14"/>
    <n v="1012"/>
    <n v="305"/>
    <x v="12"/>
    <n v="12000"/>
    <n v="12000"/>
    <n v="0"/>
  </r>
  <r>
    <n v="15"/>
    <n v="1013"/>
    <n v="304"/>
    <x v="13"/>
    <n v="7500"/>
    <n v="7500"/>
    <n v="0"/>
  </r>
  <r>
    <n v="16"/>
    <n v="1014"/>
    <n v="308"/>
    <x v="14"/>
    <n v="12000"/>
    <n v="12000"/>
    <n v="0"/>
  </r>
  <r>
    <n v="17"/>
    <n v="1015"/>
    <n v="309"/>
    <x v="15"/>
    <n v="9000"/>
    <n v="9000"/>
    <n v="0"/>
  </r>
  <r>
    <n v="18"/>
    <n v="1016"/>
    <n v="302"/>
    <x v="16"/>
    <n v="6000"/>
    <n v="6000"/>
    <n v="0"/>
  </r>
  <r>
    <n v="19"/>
    <n v="1016"/>
    <n v="312"/>
    <x v="17"/>
    <n v="9000"/>
    <n v="9000"/>
    <n v="0"/>
  </r>
  <r>
    <n v="20"/>
    <n v="1017"/>
    <n v="310"/>
    <x v="18"/>
    <n v="9000"/>
    <n v="9000"/>
    <n v="0"/>
  </r>
  <r>
    <n v="21"/>
    <n v="1017"/>
    <n v="302"/>
    <x v="19"/>
    <n v="6000"/>
    <n v="6000"/>
    <n v="0"/>
  </r>
  <r>
    <n v="22"/>
    <n v="1018"/>
    <n v="304"/>
    <x v="19"/>
    <n v="7500"/>
    <n v="7500"/>
    <n v="0"/>
  </r>
  <r>
    <n v="23"/>
    <n v="1019"/>
    <n v="309"/>
    <x v="9"/>
    <n v="9000"/>
    <n v="9000"/>
    <n v="0"/>
  </r>
  <r>
    <n v="24"/>
    <n v="1020"/>
    <n v="301"/>
    <x v="13"/>
    <n v="6000"/>
    <n v="6000"/>
    <n v="0"/>
  </r>
  <r>
    <n v="25"/>
    <n v="1021"/>
    <n v="304"/>
    <x v="20"/>
    <n v="7500"/>
    <n v="7500"/>
    <n v="0"/>
  </r>
  <r>
    <n v="26"/>
    <n v="1021"/>
    <n v="308"/>
    <x v="11"/>
    <n v="12000"/>
    <n v="12000"/>
    <n v="0"/>
  </r>
  <r>
    <n v="27"/>
    <n v="1022"/>
    <n v="307"/>
    <x v="21"/>
    <n v="12000"/>
    <n v="12000"/>
    <n v="0"/>
  </r>
  <r>
    <n v="28"/>
    <n v="1023"/>
    <n v="311"/>
    <x v="6"/>
    <n v="9000"/>
    <n v="9000"/>
    <n v="0"/>
  </r>
  <r>
    <n v="29"/>
    <n v="1024"/>
    <n v="305"/>
    <x v="6"/>
    <n v="12000"/>
    <n v="12000"/>
    <n v="0"/>
  </r>
  <r>
    <n v="30"/>
    <n v="1025"/>
    <n v="306"/>
    <x v="22"/>
    <n v="12000"/>
    <n v="12000"/>
    <n v="0"/>
  </r>
  <r>
    <n v="31"/>
    <n v="1026"/>
    <n v="304"/>
    <x v="23"/>
    <n v="7500"/>
    <n v="7500"/>
    <n v="0"/>
  </r>
  <r>
    <n v="32"/>
    <n v="1026"/>
    <n v="307"/>
    <x v="24"/>
    <n v="12000"/>
    <n v="12000"/>
    <n v="0"/>
  </r>
  <r>
    <n v="33"/>
    <n v="1027"/>
    <n v="301"/>
    <x v="25"/>
    <n v="6000"/>
    <n v="6000"/>
    <n v="0"/>
  </r>
  <r>
    <n v="34"/>
    <n v="1028"/>
    <n v="312"/>
    <x v="5"/>
    <n v="9000"/>
    <n v="9000"/>
    <n v="0"/>
  </r>
  <r>
    <n v="35"/>
    <n v="1029"/>
    <n v="301"/>
    <x v="26"/>
    <n v="6000"/>
    <n v="6000"/>
    <n v="0"/>
  </r>
  <r>
    <n v="36"/>
    <n v="1030"/>
    <n v="302"/>
    <x v="27"/>
    <n v="6000"/>
    <n v="60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F9927-933A-4D1C-8682-194B0E9FAAD9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:C11" firstHeaderRow="1" firstDataRow="1" firstDataCol="1"/>
  <pivotFields count="6">
    <pivotField dataFiel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axis="axisRow" showAll="0">
      <items count="9">
        <item x="0"/>
        <item x="3"/>
        <item x="5"/>
        <item x="2"/>
        <item x="7"/>
        <item x="1"/>
        <item x="4"/>
        <item x="6"/>
        <item t="default"/>
      </items>
    </pivotField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tudent_id" fld="0" subtotal="count" baseField="0" baseItem="9"/>
  </dataFields>
  <formats count="10">
    <format dxfId="56">
      <pivotArea field="3" type="button" dataOnly="0" labelOnly="1" outline="0" axis="axisRow" fieldPosition="0"/>
    </format>
    <format dxfId="55">
      <pivotArea dataOnly="0" labelOnly="1" outline="0" axis="axisValues" fieldPosition="0"/>
    </format>
    <format dxfId="54">
      <pivotArea field="3" type="button" dataOnly="0" labelOnly="1" outline="0" axis="axisRow" fieldPosition="0"/>
    </format>
    <format dxfId="53">
      <pivotArea dataOnly="0" labelOnly="1" outline="0" axis="axisValues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  <format dxfId="50">
      <pivotArea grandRow="1" outline="0" collapsedLevelsAreSubtotals="1" fieldPosition="0"/>
    </format>
    <format dxfId="49">
      <pivotArea dataOnly="0" labelOnly="1" grandRow="1" outline="0" fieldPosition="0"/>
    </format>
    <format dxfId="48">
      <pivotArea outline="0" collapsedLevelsAreSubtotals="1" fieldPosition="0"/>
    </format>
    <format dxfId="4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04E420-D6D1-4B5B-9185-FA9C05FF4E03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2:F7" firstHeaderRow="1" firstDataRow="1" firstDataCol="1"/>
  <pivotFields count="6">
    <pivotField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>
      <items count="8">
        <item x="3"/>
        <item x="5"/>
        <item x="2"/>
        <item x="0"/>
        <item x="1"/>
        <item x="6"/>
        <item x="4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3" showDataAs="percentOfTotal" baseField="0" baseItem="0" numFmtId="10"/>
  </dataFields>
  <formats count="13">
    <format dxfId="36">
      <pivotArea field="5" type="button" dataOnly="0" labelOnly="1" outline="0"/>
    </format>
    <format dxfId="35">
      <pivotArea dataOnly="0" labelOnly="1" outline="0" axis="axisValues" fieldPosition="0"/>
    </format>
    <format dxfId="34">
      <pivotArea field="5" type="button" dataOnly="0" labelOnly="1" outline="0"/>
    </format>
    <format dxfId="33">
      <pivotArea dataOnly="0" labelOnly="1" outline="0" axis="axisValues" fieldPosition="0"/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grandRow="1" outline="0" collapsedLevelsAreSubtotals="1" fieldPosition="0"/>
    </format>
    <format dxfId="29">
      <pivotArea dataOnly="0" labelOnly="1" grandRow="1" outline="0" fieldPosition="0"/>
    </format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field="4" type="button" dataOnly="0" labelOnly="1" outline="0" axis="axisRow" fieldPosition="0"/>
    </format>
    <format dxfId="25">
      <pivotArea dataOnly="0" labelOnly="1" outline="0" axis="axisValues" fieldPosition="0"/>
    </format>
    <format dxfId="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887F9-D29D-40F9-967E-6DC1B4EBDC49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:C6" firstHeaderRow="1" firstDataRow="1" firstDataCol="1"/>
  <pivotFields count="6">
    <pivotField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>
      <items count="8">
        <item x="3"/>
        <item x="5"/>
        <item x="2"/>
        <item x="0"/>
        <item x="1"/>
        <item x="6"/>
        <item x="4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amount" fld="3" baseField="0" baseItem="0"/>
  </dataFields>
  <formats count="10">
    <format dxfId="46">
      <pivotArea field="5" type="button" dataOnly="0" labelOnly="1" outline="0" axis="axisRow" fieldPosition="0"/>
    </format>
    <format dxfId="45">
      <pivotArea dataOnly="0" labelOnly="1" outline="0" axis="axisValues" fieldPosition="0"/>
    </format>
    <format dxfId="44">
      <pivotArea field="5" type="button" dataOnly="0" labelOnly="1" outline="0" axis="axisRow" fieldPosition="0"/>
    </format>
    <format dxfId="43">
      <pivotArea dataOnly="0" labelOnly="1" outline="0" axis="axisValues" fieldPosition="0"/>
    </format>
    <format dxfId="42">
      <pivotArea grandRow="1" outline="0" collapsedLevelsAreSubtotals="1" fieldPosition="0"/>
    </format>
    <format dxfId="41">
      <pivotArea dataOnly="0" labelOnly="1" grandRow="1" outline="0" fieldPosition="0"/>
    </format>
    <format dxfId="40">
      <pivotArea grandRow="1" outline="0" collapsedLevelsAreSubtotals="1" fieldPosition="0"/>
    </format>
    <format dxfId="39">
      <pivotArea dataOnly="0" labelOnly="1" grandRow="1" outline="0" fieldPosition="0"/>
    </format>
    <format dxfId="38">
      <pivotArea outline="0" collapsedLevelsAreSubtotals="1" fieldPosition="0"/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0C4F4-D861-4933-A0AA-933B2FB71026}" name="PivotTable18" cacheId="5" applyNumberFormats="0" applyBorderFormats="0" applyFontFormats="0" applyPatternFormats="0" applyAlignmentFormats="0" applyWidthHeightFormats="1" dataCaption="Values" tag="cd19344a-1c8c-4074-bfd9-9f6c05e9e2ee" updatedVersion="7" minRefreshableVersion="3" useAutoFormatting="1" subtotalHiddenItems="1" itemPrintTitles="1" createdVersion="5" indent="0" outline="1" outlineData="1" multipleFieldFilters="0">
  <location ref="B3:C10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1"/>
    </i>
    <i>
      <x v="5"/>
    </i>
    <i>
      <x/>
    </i>
    <i>
      <x v="2"/>
    </i>
    <i>
      <x v="3"/>
    </i>
    <i>
      <x v="4"/>
    </i>
    <i t="grand">
      <x/>
    </i>
  </rowItems>
  <colItems count="1">
    <i/>
  </colItems>
  <dataFields count="1">
    <dataField name="Sum of amount" fld="1" baseField="0" baseItem="0"/>
  </dataFields>
  <formats count="4">
    <format dxfId="23">
      <pivotArea field="0" type="button" dataOnly="0" labelOnly="1" outline="0" axis="axisRow" fieldPosition="0"/>
    </format>
    <format dxfId="22">
      <pivotArea dataOnly="0" labelOnly="1" outline="0" axis="axisValues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</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Monthly Salari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venue Gained"/>
  </pivotHierarchies>
  <pivotTableStyleInfo name="PivotStyleMedium15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atch_Table]"/>
        <x15:activeTabTopLevelEntity name="[Course_Table]"/>
        <x15:activeTabTopLevelEntity name="[Teacher_Table]"/>
        <x15:activeTabTopLevelEntity name="[Enrollments_Table]"/>
        <x15:activeTabTopLevelEntity name="[Payment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85F84-BC88-49B3-9BF3-C8EF8683B999}" name="PivotTable2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3:C12" firstHeaderRow="1" firstDataRow="1" firstDataCol="1"/>
  <pivotFields count="2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3"/>
    </i>
    <i>
      <x/>
    </i>
    <i>
      <x v="4"/>
    </i>
    <i>
      <x v="7"/>
    </i>
    <i>
      <x v="6"/>
    </i>
    <i>
      <x v="1"/>
    </i>
    <i>
      <x v="5"/>
    </i>
    <i>
      <x v="2"/>
    </i>
    <i t="grand">
      <x/>
    </i>
  </rowItems>
  <colItems count="1">
    <i/>
  </colItems>
  <dataFields count="1">
    <dataField name="Sum of amount" fld="1" baseField="0" baseItem="0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15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nrollments_Table]"/>
        <x15:activeTabTopLevelEntity name="[Student_Table]"/>
        <x15:activeTabTopLevelEntity name="[Payment_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C3EF2-E399-4020-BD66-B1FB6FF6376C}" name="PivotTable1" cacheId="2" applyNumberFormats="0" applyBorderFormats="0" applyFontFormats="0" applyPatternFormats="0" applyAlignmentFormats="0" applyWidthHeightFormats="1" dataCaption="Values" grandTotalCaption="Total" updatedVersion="7" minRefreshableVersion="3" useAutoFormatting="1" itemPrintTitles="1" createdVersion="7" indent="0" outline="1" outlineData="1">
  <location ref="E2:F9" firstHeaderRow="1" firstDataRow="1" firstDataCol="1"/>
  <pivotFields count="6">
    <pivotField showAll="0"/>
    <pivotField axis="axisRow" showAll="0" sortType="descending">
      <items count="7">
        <item x="1"/>
        <item x="4"/>
        <item x="5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1"/>
  </rowFields>
  <rowItems count="7">
    <i>
      <x v="3"/>
    </i>
    <i>
      <x v="5"/>
    </i>
    <i>
      <x v="4"/>
    </i>
    <i>
      <x/>
    </i>
    <i>
      <x v="2"/>
    </i>
    <i>
      <x v="1"/>
    </i>
    <i t="grand">
      <x/>
    </i>
  </rowItems>
  <colItems count="1">
    <i/>
  </colItems>
  <dataFields count="1">
    <dataField name="Amount Enrolled" fld="4" baseField="1" baseItem="3"/>
  </dataFields>
  <formats count="10">
    <format dxfId="9">
      <pivotArea field="1" type="button" dataOnly="0" labelOnly="1" outline="0" axis="axisRow" fieldPosition="0"/>
    </format>
    <format dxfId="8">
      <pivotArea dataOnly="0" labelOnly="1" outline="0" axis="axisValues" fieldPosition="0"/>
    </format>
    <format dxfId="7">
      <pivotArea field="1" type="button" dataOnly="0" labelOnly="1" outline="0" axis="axisRow" fieldPosition="0"/>
    </format>
    <format dxfId="6">
      <pivotArea dataOnly="0" labelOnly="1" outline="0" axis="axisValues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4D6B2-1AAB-4DC1-B7E9-908D939EDE22}" name="PivotTable8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>
  <location ref="B2:C9" firstHeaderRow="1" firstDataRow="1" firstDataCol="1"/>
  <pivotFields count="6">
    <pivotField showAll="0"/>
    <pivotField axis="axisRow" showAll="0" sortType="descending">
      <items count="7">
        <item x="1"/>
        <item x="4"/>
        <item x="5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1"/>
  </rowFields>
  <rowItems count="7">
    <i>
      <x v="3"/>
    </i>
    <i>
      <x v="4"/>
    </i>
    <i>
      <x v="5"/>
    </i>
    <i>
      <x/>
    </i>
    <i>
      <x v="2"/>
    </i>
    <i>
      <x v="1"/>
    </i>
    <i t="grand">
      <x/>
    </i>
  </rowItems>
  <colItems count="1">
    <i/>
  </colItems>
  <dataFields count="1">
    <dataField name="Sum of total_amount" fld="5" baseField="1" baseItem="0"/>
  </dataFields>
  <formats count="1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field="1" type="button" dataOnly="0" labelOnly="1" outline="0" axis="axisRow" fieldPosition="0"/>
    </format>
    <format dxfId="16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outline="0" collapsedLevelsAreSubtotals="1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BE948-1CAB-4AA6-B697-F27B02132110}" name="PivotTable3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B2:C11" firstHeaderRow="1" firstDataRow="1" firstDataCol="1"/>
  <pivotFields count="7">
    <pivotField dataField="1" showAll="0"/>
    <pivotField showAll="0"/>
    <pivotField showAll="0"/>
    <pivotField axis="axisRow" numFmtId="16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enroll_id" fld="0" subtotal="count" baseField="3" baseItem="8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DC67D6-BBA4-4027-A08B-16F68C688726}" name="Student_Table" displayName="Student_Table" ref="A1:G31" totalsRowShown="0" headerRowDxfId="83" headerRowBorderDxfId="82" tableBorderDxfId="81" totalsRowBorderDxfId="80">
  <autoFilter ref="A1:G31" xr:uid="{22DC67D6-BBA4-4027-A08B-16F68C688726}"/>
  <tableColumns count="7">
    <tableColumn id="1" xr3:uid="{6BB2F17C-0815-473B-8C60-751A6C084EAD}" name="student_id" dataDxfId="79"/>
    <tableColumn id="2" xr3:uid="{F4645638-2F21-4FCA-B7A7-1EC7FB514474}" name="first_name" dataDxfId="78"/>
    <tableColumn id="3" xr3:uid="{1676F275-C776-44E8-B3B0-DE51E780CE7B}" name="last_name" dataDxfId="77"/>
    <tableColumn id="4" xr3:uid="{5B9924BC-81F8-4FE0-9195-D4F9DF3850FF}" name="city" dataDxfId="76"/>
    <tableColumn id="5" xr3:uid="{E0B8BAFB-71CF-42FC-B57D-B547EB2B68C3}" name="phone" dataDxfId="75"/>
    <tableColumn id="6" xr3:uid="{2FE9D468-65DB-4B36-BE9B-AF2802F9EEB4}" name="full_name" dataDxfId="74"/>
    <tableColumn id="7" xr3:uid="{DD0791F1-8B94-4EC3-8521-9AC53BD96B1D}" name="total_enrolments" dataDxfId="73">
      <calculatedColumnFormula>COUNTIF(Enrollments_Table[student_id],Student_Table[[#This Row],[student_id]])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3EA399-9037-4F9A-A836-A49B3685BEC7}" name="Teacher_Table" displayName="Teacher_Table" ref="A1:F9" totalsRowShown="0">
  <autoFilter ref="A1:F9" xr:uid="{AE3EA399-9037-4F9A-A836-A49B3685BEC7}"/>
  <tableColumns count="6">
    <tableColumn id="1" xr3:uid="{57FC43E9-F09C-4033-AD02-A76170BD0BBC}" name="teacher_id"/>
    <tableColumn id="2" xr3:uid="{07D10DEA-F896-4F36-94D8-534FDD231856}" name="teacher_name"/>
    <tableColumn id="3" xr3:uid="{B5AE2E4E-F47B-4666-9F7B-6ABB5D20CD2D}" name="expertise"/>
    <tableColumn id="4" xr3:uid="{9C799885-AD9A-469B-9513-88F0498E836E}" name="base_city"/>
    <tableColumn id="5" xr3:uid="{7145AB17-1376-413E-9A6B-24EBE44DB62B}" name="monthly_salary" dataDxfId="72"/>
    <tableColumn id="6" xr3:uid="{81CFDF66-C932-4461-89A4-52781C5EAB80}" name="profit_generated" dataDxfId="71">
      <calculatedColumnFormula>(SUMIF(Batch_Table[teacher_id],Teacher_Table[[#This Row],[teacher_id]],Batch_Table[revenue_from_batch]))-Teacher_Table[[#This Row],[monthly_salary]]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B7EEE4-3677-4E4F-89F0-D4D6F27E9D5B}" name="Course_Table" displayName="Course_Table" ref="A1:F7" totalsRowShown="0">
  <autoFilter ref="A1:F7" xr:uid="{99B7EEE4-3677-4E4F-89F0-D4D6F27E9D5B}"/>
  <tableColumns count="6">
    <tableColumn id="1" xr3:uid="{D9738DF0-00FC-4230-AEA0-07DCFBBFDE25}" name="course_id"/>
    <tableColumn id="2" xr3:uid="{128AF03C-0077-43A2-AC36-F83AB022A64F}" name="course_name"/>
    <tableColumn id="3" xr3:uid="{28F37366-4A95-43DD-8BB1-B19BF68A03DD}" name="duration_weeks"/>
    <tableColumn id="4" xr3:uid="{9C526EDF-3F1E-4CA7-A19D-3DACD1837B86}" name="price"/>
    <tableColumn id="5" xr3:uid="{68233961-43AB-408E-A2DF-C736FC86AAB5}" name="no_enrolled" dataDxfId="70">
      <calculatedColumnFormula>SUMIF(Batch_Table[course_id],Course_Table[[#This Row],[course_id]],Batch_Table[no_enrolled_batch])</calculatedColumnFormula>
    </tableColumn>
    <tableColumn id="6" xr3:uid="{845985A7-55D0-4B7D-A557-776883B3E2B7}" name="total_amount" dataDxfId="69">
      <calculatedColumnFormula>Course_Table[[#This Row],[price]]*Course_Table[[#This Row],[no_enrolled]]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1C6C3F-B2E6-4DCC-A36F-C2ECF15E94B6}" name="Batch_Table" displayName="Batch_Table" ref="A1:I13" totalsRowShown="0">
  <autoFilter ref="A1:I13" xr:uid="{D51C6C3F-B2E6-4DCC-A36F-C2ECF15E94B6}"/>
  <tableColumns count="9">
    <tableColumn id="1" xr3:uid="{8DD3A158-1264-4949-8D6D-E70DAA37C2A2}" name="batch_id"/>
    <tableColumn id="2" xr3:uid="{1B47B6A9-9F2B-4AD3-AEE4-054E05CA6385}" name="course_id"/>
    <tableColumn id="3" xr3:uid="{AC633B7E-C886-4683-B377-311B973C9046}" name="teacher_id"/>
    <tableColumn id="4" xr3:uid="{F8516F89-8349-42EC-BC65-BFA39CECC385}" name="start_date" dataDxfId="68"/>
    <tableColumn id="5" xr3:uid="{ACDCA27F-0ACA-409F-AD98-33056BE1B407}" name="days_per_week"/>
    <tableColumn id="6" xr3:uid="{67167AD2-561C-4E12-8987-18AA31D28A4C}" name="time_slot"/>
    <tableColumn id="7" xr3:uid="{25FD0508-6301-43F0-9A97-F0F93AF84015}" name="no_enrolled_batch" dataDxfId="67">
      <calculatedColumnFormula>COUNTIF(Enrollments_Table[batch_id],Batch_Table[[#This Row],[batch_id]])</calculatedColumnFormula>
    </tableColumn>
    <tableColumn id="8" xr3:uid="{CE919594-17BF-4C9B-9EE8-2A298B7146DB}" name="revenue_from_batch" dataDxfId="66">
      <calculatedColumnFormula>Batch_Table[[#This Row],[no_enrolled_batch]]*VLOOKUP(Batch_Table[[#This Row],[course_id]],Course_Table[],6)</calculatedColumnFormula>
    </tableColumn>
    <tableColumn id="18" xr3:uid="{11F6495C-9992-4A99-A39C-0BB930ACF2AA}" name="Next session" dataDxfId="65">
      <calculatedColumnFormula>TODAY()+(MOD(7-(WEEKDAY(TODAY(),3)-WEEKDAY(_xlfn.MINIFS(Sessions_Table[session_date],Sessions_Table[batch_id],Batch_Table[[#This Row],[batch_id]]),3)),7))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27D4B4-A151-48B3-83D3-8A39190D27FC}" name="Enrollments_Table" displayName="Enrollments_Table" ref="A1:G37" totalsRowShown="0">
  <autoFilter ref="A1:G37" xr:uid="{6227D4B4-A151-48B3-83D3-8A39190D27FC}"/>
  <tableColumns count="7">
    <tableColumn id="1" xr3:uid="{24EC1066-1B3E-4D97-81A3-491715B8B50A}" name="enroll_id"/>
    <tableColumn id="2" xr3:uid="{7C916CDF-A3AD-4803-B805-C5CCD1247CA4}" name="student_id"/>
    <tableColumn id="3" xr3:uid="{3625A059-6C4C-45D1-94D0-30C03D972E71}" name="batch_id"/>
    <tableColumn id="4" xr3:uid="{789FE2FA-E13F-4648-A6D1-E298D6B196AE}" name="enroll_date" dataDxfId="64"/>
    <tableColumn id="5" xr3:uid="{913BFFAF-0C22-4C17-8142-A4102C23757B}" name="fees_paid" dataDxfId="63">
      <calculatedColumnFormula>SUMIFS(Payment_Table[amount],Payment_Table[enroll_id],Enrollments_Table[[#This Row],[enroll_id]])</calculatedColumnFormula>
    </tableColumn>
    <tableColumn id="6" xr3:uid="{7513B371-87C8-404C-B00F-3044C75EC96A}" name="fees_generated" dataDxfId="62">
      <calculatedColumnFormula>VLOOKUP(INDEX(Batch_Table[#All],MATCH(Enrollments_Table[[#This Row],[batch_id]],Batch_Table[[#All],[batch_id]],0),2),Course_Table[#All],4,0)</calculatedColumnFormula>
    </tableColumn>
    <tableColumn id="7" xr3:uid="{1D7C5CA7-8581-4816-9254-509573C41567}" name="outstanding_fees" dataDxfId="61">
      <calculatedColumnFormula>Enrollments_Table[[#This Row],[fees_generated]]-Enrollments_Table[[#This Row],[fees_paid]]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767366-2A7C-4C2A-8EB9-AF15EE1AC8E5}" name="Payment_Table" displayName="Payment_Table" ref="A1:F51" totalsRowShown="0">
  <autoFilter ref="A1:F51" xr:uid="{A3767366-2A7C-4C2A-8EB9-AF15EE1AC8E5}"/>
  <tableColumns count="6">
    <tableColumn id="1" xr3:uid="{99FEB204-340C-4103-BFAB-C4640F66567A}" name="payment_id"/>
    <tableColumn id="2" xr3:uid="{008E6B40-0E3A-4428-BF2E-0BF6859BAC51}" name="enroll_id"/>
    <tableColumn id="3" xr3:uid="{73CF8AEF-25B3-4D7B-9897-03C6ADC638A6}" name="payment_date" dataDxfId="60"/>
    <tableColumn id="4" xr3:uid="{D66B9889-5B12-4ED6-BAC8-C8D53B0DC1B5}" name="amount"/>
    <tableColumn id="5" xr3:uid="{24332CF4-F973-40F8-86B1-618C41CD197F}" name="mode"/>
    <tableColumn id="6" xr3:uid="{D52569F1-F97B-4ABA-B8AB-47F543EB9C11}" name="paid_ontime" dataDxfId="59">
      <calculatedColumnFormula>IF(Payment_Table[[#This Row],[payment_date]]&lt;=(_xlfn.XLOOKUP(B2,Enrollments_Table[enroll_id],Enrollments_Table[enroll_date])+14),"On Time","Late")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607CB6-D39F-4858-9BAA-E5F9889FF1D2}" name="Sessions_Table" displayName="Sessions_Table" ref="A1:D145" totalsRowShown="0">
  <autoFilter ref="A1:D145" xr:uid="{B2607CB6-D39F-4858-9BAA-E5F9889FF1D2}"/>
  <tableColumns count="4">
    <tableColumn id="1" xr3:uid="{862E876F-41E6-42B6-B55B-FE4A81B21EAA}" name="session_id"/>
    <tableColumn id="2" xr3:uid="{BC1344E9-A9AE-4416-B174-C34AFAEAE3CF}" name="batch_id"/>
    <tableColumn id="3" xr3:uid="{20BE3D21-0748-4D30-AB1E-FEDBAB1BFD99}" name="session_date" dataDxfId="58"/>
    <tableColumn id="4" xr3:uid="{95FDBB3D-A711-45A4-9964-C259B893E704}" name="topic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3C0B8A8-9A02-437F-9FC9-B176DCB6B6D5}" name="Attendance_Table" displayName="Attendance_Table" ref="A1:D455" totalsRowShown="0">
  <autoFilter ref="A1:D455" xr:uid="{A3C0B8A8-9A02-437F-9FC9-B176DCB6B6D5}"/>
  <tableColumns count="4">
    <tableColumn id="1" xr3:uid="{44365C96-0C52-4DB5-B03F-DC388F6D2AA4}" name="session_id"/>
    <tableColumn id="2" xr3:uid="{22F5FC45-8554-4AC4-8D3E-145656C80E85}" name="student_id"/>
    <tableColumn id="3" xr3:uid="{8E92ACA7-F407-4578-BB17-587382E27E3A}" name="present"/>
    <tableColumn id="4" xr3:uid="{741F400F-8EA2-4036-A93D-3D2623CFF5B4}" name="session_in_last_month" dataDxfId="57">
      <calculatedColumnFormula>IF(MONTH(_xlfn.XLOOKUP(Attendance_Table[[#This Row],[session_id]],Sessions_Table[session_id],Sessions_Table[session_date]))=MONTH(MAX(Sessions_Table[session_date])),"Yes","No")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cols>
    <col min="1" max="1" width="26" customWidth="1"/>
    <col min="2" max="2" width="64" customWidth="1"/>
    <col min="3" max="12" width="18" customWidth="1"/>
  </cols>
  <sheetData>
    <row r="1" spans="1:2" ht="17.25" x14ac:dyDescent="0.3">
      <c r="A1" s="1" t="s">
        <v>0</v>
      </c>
    </row>
    <row r="3" spans="1:2" x14ac:dyDescent="0.25">
      <c r="A3" s="2" t="s">
        <v>1</v>
      </c>
      <c r="B3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"/>
  <sheetViews>
    <sheetView workbookViewId="0">
      <selection activeCell="C28" sqref="C28"/>
    </sheetView>
  </sheetViews>
  <sheetFormatPr defaultRowHeight="15" x14ac:dyDescent="0.25"/>
  <cols>
    <col min="1" max="1" width="26" customWidth="1"/>
    <col min="2" max="2" width="64" customWidth="1"/>
    <col min="3" max="3" width="51.5703125" customWidth="1"/>
    <col min="4" max="4" width="47.85546875" bestFit="1" customWidth="1"/>
    <col min="5" max="12" width="18" customWidth="1"/>
  </cols>
  <sheetData>
    <row r="1" spans="1:4" ht="17.25" x14ac:dyDescent="0.3">
      <c r="A1" s="1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>
        <v>1</v>
      </c>
      <c r="B4" s="20" t="s">
        <v>8</v>
      </c>
      <c r="C4" t="s">
        <v>9</v>
      </c>
      <c r="D4">
        <v>30</v>
      </c>
    </row>
    <row r="5" spans="1:4" x14ac:dyDescent="0.25">
      <c r="A5">
        <v>2</v>
      </c>
      <c r="B5" s="20" t="s">
        <v>10</v>
      </c>
      <c r="C5" t="s">
        <v>11</v>
      </c>
      <c r="D5" t="s">
        <v>12</v>
      </c>
    </row>
    <row r="6" spans="1:4" x14ac:dyDescent="0.25">
      <c r="A6">
        <v>3</v>
      </c>
      <c r="B6" s="20" t="s">
        <v>13</v>
      </c>
      <c r="C6" t="s">
        <v>14</v>
      </c>
      <c r="D6">
        <v>334500</v>
      </c>
    </row>
    <row r="7" spans="1:4" x14ac:dyDescent="0.25">
      <c r="A7">
        <v>4</v>
      </c>
      <c r="B7" s="20" t="s">
        <v>15</v>
      </c>
      <c r="C7" t="s">
        <v>16</v>
      </c>
      <c r="D7" t="s">
        <v>17</v>
      </c>
    </row>
    <row r="8" spans="1:4" x14ac:dyDescent="0.25">
      <c r="A8">
        <v>5</v>
      </c>
      <c r="B8" s="20" t="s">
        <v>18</v>
      </c>
      <c r="C8" t="s">
        <v>19</v>
      </c>
      <c r="D8">
        <v>0</v>
      </c>
    </row>
    <row r="9" spans="1:4" x14ac:dyDescent="0.25">
      <c r="A9">
        <v>6</v>
      </c>
      <c r="B9" s="20" t="s">
        <v>20</v>
      </c>
      <c r="C9" t="s">
        <v>21</v>
      </c>
      <c r="D9" t="s">
        <v>17</v>
      </c>
    </row>
    <row r="10" spans="1:4" x14ac:dyDescent="0.25">
      <c r="A10">
        <v>7</v>
      </c>
      <c r="B10" s="20" t="s">
        <v>22</v>
      </c>
      <c r="C10" t="s">
        <v>23</v>
      </c>
      <c r="D10" t="s">
        <v>24</v>
      </c>
    </row>
    <row r="11" spans="1:4" x14ac:dyDescent="0.25">
      <c r="A11">
        <v>8</v>
      </c>
      <c r="B11" s="20" t="s">
        <v>25</v>
      </c>
      <c r="C11" t="s">
        <v>26</v>
      </c>
      <c r="D11">
        <v>3.27</v>
      </c>
    </row>
    <row r="12" spans="1:4" x14ac:dyDescent="0.25">
      <c r="A12">
        <v>9</v>
      </c>
      <c r="B12" s="20" t="s">
        <v>27</v>
      </c>
      <c r="C12" t="s">
        <v>28</v>
      </c>
      <c r="D12" t="s">
        <v>29</v>
      </c>
    </row>
    <row r="13" spans="1:4" x14ac:dyDescent="0.25">
      <c r="A13">
        <v>10</v>
      </c>
      <c r="B13" s="20" t="s">
        <v>30</v>
      </c>
      <c r="C13" t="s">
        <v>31</v>
      </c>
      <c r="D13" t="s">
        <v>32</v>
      </c>
    </row>
    <row r="14" spans="1:4" x14ac:dyDescent="0.25">
      <c r="A14">
        <v>11</v>
      </c>
      <c r="B14" s="20" t="s">
        <v>33</v>
      </c>
      <c r="C14" t="s">
        <v>34</v>
      </c>
      <c r="D14">
        <v>6</v>
      </c>
    </row>
    <row r="15" spans="1:4" x14ac:dyDescent="0.25">
      <c r="A15">
        <v>12</v>
      </c>
      <c r="B15" s="20" t="s">
        <v>35</v>
      </c>
      <c r="C15" t="s">
        <v>36</v>
      </c>
      <c r="D15" t="s">
        <v>37</v>
      </c>
    </row>
    <row r="16" spans="1:4" x14ac:dyDescent="0.25">
      <c r="A16">
        <v>13</v>
      </c>
      <c r="B16" s="20" t="s">
        <v>38</v>
      </c>
      <c r="C16" t="s">
        <v>39</v>
      </c>
      <c r="D16" t="s">
        <v>40</v>
      </c>
    </row>
    <row r="17" spans="1:4" x14ac:dyDescent="0.25">
      <c r="A17">
        <v>14</v>
      </c>
      <c r="B17" s="20" t="s">
        <v>41</v>
      </c>
      <c r="C17" t="s">
        <v>42</v>
      </c>
      <c r="D17" t="s">
        <v>17</v>
      </c>
    </row>
    <row r="18" spans="1:4" x14ac:dyDescent="0.25">
      <c r="A18">
        <v>15</v>
      </c>
      <c r="B18" s="20" t="s">
        <v>43</v>
      </c>
      <c r="C18" t="s">
        <v>44</v>
      </c>
      <c r="D18" t="s">
        <v>17</v>
      </c>
    </row>
    <row r="19" spans="1:4" x14ac:dyDescent="0.25">
      <c r="A19">
        <v>16</v>
      </c>
      <c r="B19" s="20" t="s">
        <v>45</v>
      </c>
      <c r="C19" t="s">
        <v>46</v>
      </c>
      <c r="D19" t="s">
        <v>47</v>
      </c>
    </row>
    <row r="20" spans="1:4" x14ac:dyDescent="0.25">
      <c r="A20">
        <v>17</v>
      </c>
      <c r="B20" s="20" t="s">
        <v>48</v>
      </c>
      <c r="C20" t="s">
        <v>49</v>
      </c>
      <c r="D20" t="s">
        <v>50</v>
      </c>
    </row>
    <row r="21" spans="1:4" x14ac:dyDescent="0.25">
      <c r="A21">
        <v>18</v>
      </c>
      <c r="B21" s="20" t="s">
        <v>51</v>
      </c>
      <c r="C21" t="s">
        <v>52</v>
      </c>
      <c r="D21">
        <v>11150</v>
      </c>
    </row>
    <row r="22" spans="1:4" x14ac:dyDescent="0.25">
      <c r="A22">
        <v>19</v>
      </c>
      <c r="B22" s="20" t="s">
        <v>53</v>
      </c>
      <c r="C22" t="s">
        <v>54</v>
      </c>
      <c r="D22">
        <v>6</v>
      </c>
    </row>
    <row r="23" spans="1:4" x14ac:dyDescent="0.25">
      <c r="A23">
        <v>20</v>
      </c>
      <c r="B23" s="20" t="s">
        <v>55</v>
      </c>
      <c r="C23" t="s">
        <v>56</v>
      </c>
      <c r="D23" t="s">
        <v>57</v>
      </c>
    </row>
    <row r="25" spans="1:4" x14ac:dyDescent="0.25">
      <c r="A25" s="2" t="s">
        <v>58</v>
      </c>
    </row>
    <row r="26" spans="1:4" x14ac:dyDescent="0.25">
      <c r="A26" t="s">
        <v>59</v>
      </c>
      <c r="B26" t="s">
        <v>60</v>
      </c>
    </row>
    <row r="27" spans="1:4" x14ac:dyDescent="0.25">
      <c r="A27" t="s">
        <v>61</v>
      </c>
      <c r="B27">
        <v>124500</v>
      </c>
    </row>
    <row r="28" spans="1:4" x14ac:dyDescent="0.25">
      <c r="A28" t="s">
        <v>62</v>
      </c>
      <c r="B28">
        <v>158250</v>
      </c>
    </row>
    <row r="29" spans="1:4" x14ac:dyDescent="0.25">
      <c r="A29" t="s">
        <v>63</v>
      </c>
      <c r="B29">
        <v>51750</v>
      </c>
    </row>
    <row r="31" spans="1:4" x14ac:dyDescent="0.25">
      <c r="A31" s="2" t="s">
        <v>64</v>
      </c>
    </row>
    <row r="32" spans="1:4" x14ac:dyDescent="0.25">
      <c r="A32" t="s">
        <v>65</v>
      </c>
      <c r="B32" t="s">
        <v>60</v>
      </c>
    </row>
    <row r="33" spans="1:2" x14ac:dyDescent="0.25">
      <c r="A33" t="s">
        <v>66</v>
      </c>
      <c r="B33">
        <v>120000</v>
      </c>
    </row>
    <row r="34" spans="1:2" x14ac:dyDescent="0.25">
      <c r="A34" t="s">
        <v>67</v>
      </c>
      <c r="B34">
        <v>60000</v>
      </c>
    </row>
    <row r="35" spans="1:2" x14ac:dyDescent="0.25">
      <c r="A35" t="s">
        <v>68</v>
      </c>
      <c r="B35">
        <v>54000</v>
      </c>
    </row>
    <row r="37" spans="1:2" x14ac:dyDescent="0.25">
      <c r="A37" s="2" t="s">
        <v>69</v>
      </c>
    </row>
    <row r="38" spans="1:2" x14ac:dyDescent="0.25">
      <c r="A38" t="s">
        <v>70</v>
      </c>
      <c r="B38" t="s">
        <v>71</v>
      </c>
    </row>
    <row r="39" spans="1:2" x14ac:dyDescent="0.25">
      <c r="A39" t="s">
        <v>61</v>
      </c>
      <c r="B39">
        <v>7</v>
      </c>
    </row>
    <row r="40" spans="1:2" x14ac:dyDescent="0.25">
      <c r="A40" t="s">
        <v>62</v>
      </c>
      <c r="B40">
        <v>3</v>
      </c>
    </row>
    <row r="41" spans="1:2" x14ac:dyDescent="0.25">
      <c r="A41" t="s">
        <v>63</v>
      </c>
      <c r="B41">
        <v>4</v>
      </c>
    </row>
    <row r="42" spans="1:2" x14ac:dyDescent="0.25">
      <c r="A42" t="s">
        <v>72</v>
      </c>
      <c r="B42">
        <v>5</v>
      </c>
    </row>
    <row r="43" spans="1:2" x14ac:dyDescent="0.25">
      <c r="A43" t="s">
        <v>73</v>
      </c>
      <c r="B43">
        <v>3</v>
      </c>
    </row>
    <row r="44" spans="1:2" x14ac:dyDescent="0.25">
      <c r="A44" t="s">
        <v>74</v>
      </c>
      <c r="B44">
        <v>3</v>
      </c>
    </row>
    <row r="45" spans="1:2" x14ac:dyDescent="0.25">
      <c r="A45" t="s">
        <v>75</v>
      </c>
      <c r="B45">
        <v>7</v>
      </c>
    </row>
    <row r="46" spans="1:2" x14ac:dyDescent="0.25">
      <c r="A46" t="s">
        <v>76</v>
      </c>
      <c r="B46">
        <v>3</v>
      </c>
    </row>
    <row r="47" spans="1:2" x14ac:dyDescent="0.25">
      <c r="A47" t="s">
        <v>77</v>
      </c>
      <c r="B47">
        <v>1</v>
      </c>
    </row>
    <row r="49" spans="1:2" x14ac:dyDescent="0.25">
      <c r="A49" s="2" t="s">
        <v>78</v>
      </c>
    </row>
    <row r="50" spans="1:2" x14ac:dyDescent="0.25">
      <c r="A50" t="s">
        <v>79</v>
      </c>
      <c r="B50" t="s">
        <v>80</v>
      </c>
    </row>
    <row r="51" spans="1:2" x14ac:dyDescent="0.25">
      <c r="A51" t="s">
        <v>81</v>
      </c>
      <c r="B51">
        <v>28</v>
      </c>
    </row>
    <row r="52" spans="1:2" x14ac:dyDescent="0.25">
      <c r="A52" t="s">
        <v>82</v>
      </c>
      <c r="B52">
        <v>28</v>
      </c>
    </row>
    <row r="53" spans="1:2" x14ac:dyDescent="0.25">
      <c r="A53" t="s">
        <v>83</v>
      </c>
      <c r="B53">
        <v>24</v>
      </c>
    </row>
    <row r="54" spans="1:2" x14ac:dyDescent="0.25">
      <c r="A54" t="s">
        <v>84</v>
      </c>
      <c r="B54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zoomScale="70" zoomScaleNormal="70" workbookViewId="0">
      <selection activeCell="I2" sqref="I2"/>
    </sheetView>
  </sheetViews>
  <sheetFormatPr defaultRowHeight="15" x14ac:dyDescent="0.25"/>
  <cols>
    <col min="1" max="1" width="26" customWidth="1"/>
    <col min="2" max="2" width="64" customWidth="1"/>
    <col min="3" max="6" width="18" customWidth="1"/>
    <col min="7" max="7" width="18" style="19" customWidth="1"/>
    <col min="8" max="8" width="18" customWidth="1"/>
    <col min="9" max="10" width="34.28515625" bestFit="1" customWidth="1"/>
    <col min="11" max="12" width="18" customWidth="1"/>
  </cols>
  <sheetData>
    <row r="1" spans="1:9" x14ac:dyDescent="0.25">
      <c r="A1" s="7" t="s">
        <v>85</v>
      </c>
      <c r="B1" s="8" t="s">
        <v>86</v>
      </c>
      <c r="C1" s="8" t="s">
        <v>87</v>
      </c>
      <c r="D1" s="8" t="s">
        <v>88</v>
      </c>
      <c r="E1" s="8" t="s">
        <v>89</v>
      </c>
      <c r="F1" s="9" t="s">
        <v>90</v>
      </c>
      <c r="G1" s="25" t="s">
        <v>268</v>
      </c>
      <c r="I1" s="23" t="s">
        <v>248</v>
      </c>
    </row>
    <row r="2" spans="1:9" x14ac:dyDescent="0.25">
      <c r="A2" s="5">
        <v>1001</v>
      </c>
      <c r="B2" s="4" t="s">
        <v>91</v>
      </c>
      <c r="C2" s="4" t="s">
        <v>92</v>
      </c>
      <c r="D2" s="4" t="s">
        <v>93</v>
      </c>
      <c r="E2" s="4" t="s">
        <v>94</v>
      </c>
      <c r="F2" s="6" t="s">
        <v>95</v>
      </c>
      <c r="G2" s="25">
        <f>COUNTIF(Enrollments_Table[student_id],Student_Table[[#This Row],[student_id]])</f>
        <v>1</v>
      </c>
      <c r="I2" s="24">
        <f>COUNTA(Student_Table[student_id])</f>
        <v>30</v>
      </c>
    </row>
    <row r="3" spans="1:9" x14ac:dyDescent="0.25">
      <c r="A3" s="5">
        <v>1002</v>
      </c>
      <c r="B3" s="4" t="s">
        <v>96</v>
      </c>
      <c r="C3" s="4" t="s">
        <v>92</v>
      </c>
      <c r="D3" s="4" t="s">
        <v>93</v>
      </c>
      <c r="E3" s="4" t="s">
        <v>97</v>
      </c>
      <c r="F3" s="6" t="s">
        <v>98</v>
      </c>
      <c r="G3" s="24">
        <f>COUNTIF(Enrollments_Table[student_id],Student_Table[[#This Row],[student_id]])</f>
        <v>1</v>
      </c>
    </row>
    <row r="4" spans="1:9" x14ac:dyDescent="0.25">
      <c r="A4" s="5">
        <v>1003</v>
      </c>
      <c r="B4" s="4" t="s">
        <v>99</v>
      </c>
      <c r="C4" s="4" t="s">
        <v>100</v>
      </c>
      <c r="D4" s="4" t="s">
        <v>101</v>
      </c>
      <c r="E4" s="4" t="s">
        <v>102</v>
      </c>
      <c r="F4" s="6" t="s">
        <v>103</v>
      </c>
      <c r="G4" s="24">
        <f>COUNTIF(Enrollments_Table[student_id],Student_Table[[#This Row],[student_id]])</f>
        <v>1</v>
      </c>
      <c r="I4" s="23" t="s">
        <v>269</v>
      </c>
    </row>
    <row r="5" spans="1:9" x14ac:dyDescent="0.25">
      <c r="A5" s="5">
        <v>1004</v>
      </c>
      <c r="B5" s="4" t="s">
        <v>104</v>
      </c>
      <c r="C5" s="4" t="s">
        <v>105</v>
      </c>
      <c r="D5" s="4" t="s">
        <v>106</v>
      </c>
      <c r="E5" s="4" t="s">
        <v>107</v>
      </c>
      <c r="F5" s="6" t="s">
        <v>108</v>
      </c>
      <c r="G5" s="24">
        <f>COUNTIF(Enrollments_Table[student_id],Student_Table[[#This Row],[student_id]])</f>
        <v>1</v>
      </c>
      <c r="I5" s="24">
        <f>COUNTIF(Student_Table[total_enrolments],"&gt;=2")</f>
        <v>6</v>
      </c>
    </row>
    <row r="6" spans="1:9" x14ac:dyDescent="0.25">
      <c r="A6" s="5">
        <v>1005</v>
      </c>
      <c r="B6" s="4" t="s">
        <v>109</v>
      </c>
      <c r="C6" s="4" t="s">
        <v>105</v>
      </c>
      <c r="D6" s="4" t="s">
        <v>110</v>
      </c>
      <c r="E6" s="4" t="s">
        <v>111</v>
      </c>
      <c r="F6" s="6" t="s">
        <v>112</v>
      </c>
      <c r="G6" s="24">
        <f>COUNTIF(Enrollments_Table[student_id],Student_Table[[#This Row],[student_id]])</f>
        <v>2</v>
      </c>
    </row>
    <row r="7" spans="1:9" x14ac:dyDescent="0.25">
      <c r="A7" s="5">
        <v>1006</v>
      </c>
      <c r="B7" s="4" t="s">
        <v>113</v>
      </c>
      <c r="C7" s="4" t="s">
        <v>114</v>
      </c>
      <c r="D7" s="4" t="s">
        <v>93</v>
      </c>
      <c r="E7" s="4" t="s">
        <v>115</v>
      </c>
      <c r="F7" s="6" t="s">
        <v>116</v>
      </c>
      <c r="G7" s="24">
        <f>COUNTIF(Enrollments_Table[student_id],Student_Table[[#This Row],[student_id]])</f>
        <v>1</v>
      </c>
    </row>
    <row r="8" spans="1:9" x14ac:dyDescent="0.25">
      <c r="A8" s="5">
        <v>1007</v>
      </c>
      <c r="B8" s="4" t="s">
        <v>117</v>
      </c>
      <c r="C8" s="4" t="s">
        <v>100</v>
      </c>
      <c r="D8" s="4" t="s">
        <v>93</v>
      </c>
      <c r="E8" s="4" t="s">
        <v>118</v>
      </c>
      <c r="F8" s="6" t="s">
        <v>119</v>
      </c>
      <c r="G8" s="24">
        <f>COUNTIF(Enrollments_Table[student_id],Student_Table[[#This Row],[student_id]])</f>
        <v>2</v>
      </c>
    </row>
    <row r="9" spans="1:9" x14ac:dyDescent="0.25">
      <c r="A9" s="5">
        <v>1008</v>
      </c>
      <c r="B9" s="4" t="s">
        <v>120</v>
      </c>
      <c r="C9" s="4" t="s">
        <v>121</v>
      </c>
      <c r="D9" s="4" t="s">
        <v>93</v>
      </c>
      <c r="E9" s="4" t="s">
        <v>122</v>
      </c>
      <c r="F9" s="6" t="s">
        <v>123</v>
      </c>
      <c r="G9" s="24">
        <f>COUNTIF(Enrollments_Table[student_id],Student_Table[[#This Row],[student_id]])</f>
        <v>1</v>
      </c>
    </row>
    <row r="10" spans="1:9" x14ac:dyDescent="0.25">
      <c r="A10" s="5">
        <v>1009</v>
      </c>
      <c r="B10" s="4" t="s">
        <v>124</v>
      </c>
      <c r="C10" s="4" t="s">
        <v>125</v>
      </c>
      <c r="D10" s="4" t="s">
        <v>110</v>
      </c>
      <c r="E10" s="4" t="s">
        <v>126</v>
      </c>
      <c r="F10" s="6" t="s">
        <v>127</v>
      </c>
      <c r="G10" s="24">
        <f>COUNTIF(Enrollments_Table[student_id],Student_Table[[#This Row],[student_id]])</f>
        <v>1</v>
      </c>
    </row>
    <row r="11" spans="1:9" x14ac:dyDescent="0.25">
      <c r="A11" s="5">
        <v>1010</v>
      </c>
      <c r="B11" s="4" t="s">
        <v>99</v>
      </c>
      <c r="C11" s="4" t="s">
        <v>128</v>
      </c>
      <c r="D11" s="4" t="s">
        <v>129</v>
      </c>
      <c r="E11" s="4" t="s">
        <v>130</v>
      </c>
      <c r="F11" s="6" t="s">
        <v>131</v>
      </c>
      <c r="G11" s="24">
        <f>COUNTIF(Enrollments_Table[student_id],Student_Table[[#This Row],[student_id]])</f>
        <v>1</v>
      </c>
    </row>
    <row r="12" spans="1:9" x14ac:dyDescent="0.25">
      <c r="A12" s="5">
        <v>1011</v>
      </c>
      <c r="B12" s="4" t="s">
        <v>132</v>
      </c>
      <c r="C12" s="4" t="s">
        <v>121</v>
      </c>
      <c r="D12" s="4" t="s">
        <v>133</v>
      </c>
      <c r="E12" s="4" t="s">
        <v>134</v>
      </c>
      <c r="F12" s="6" t="s">
        <v>135</v>
      </c>
      <c r="G12" s="24">
        <f>COUNTIF(Enrollments_Table[student_id],Student_Table[[#This Row],[student_id]])</f>
        <v>1</v>
      </c>
    </row>
    <row r="13" spans="1:9" x14ac:dyDescent="0.25">
      <c r="A13" s="5">
        <v>1012</v>
      </c>
      <c r="B13" s="4" t="s">
        <v>117</v>
      </c>
      <c r="C13" s="4" t="s">
        <v>136</v>
      </c>
      <c r="D13" s="4" t="s">
        <v>106</v>
      </c>
      <c r="E13" s="4" t="s">
        <v>137</v>
      </c>
      <c r="F13" s="6" t="s">
        <v>138</v>
      </c>
      <c r="G13" s="24">
        <f>COUNTIF(Enrollments_Table[student_id],Student_Table[[#This Row],[student_id]])</f>
        <v>1</v>
      </c>
    </row>
    <row r="14" spans="1:9" x14ac:dyDescent="0.25">
      <c r="A14" s="5">
        <v>1013</v>
      </c>
      <c r="B14" s="4" t="s">
        <v>139</v>
      </c>
      <c r="C14" s="4" t="s">
        <v>105</v>
      </c>
      <c r="D14" s="4" t="s">
        <v>140</v>
      </c>
      <c r="E14" s="4" t="s">
        <v>141</v>
      </c>
      <c r="F14" s="6" t="s">
        <v>142</v>
      </c>
      <c r="G14" s="24">
        <f>COUNTIF(Enrollments_Table[student_id],Student_Table[[#This Row],[student_id]])</f>
        <v>1</v>
      </c>
    </row>
    <row r="15" spans="1:9" x14ac:dyDescent="0.25">
      <c r="A15" s="5">
        <v>1014</v>
      </c>
      <c r="B15" s="4" t="s">
        <v>99</v>
      </c>
      <c r="C15" s="4" t="s">
        <v>143</v>
      </c>
      <c r="D15" s="4" t="s">
        <v>106</v>
      </c>
      <c r="E15" s="4" t="s">
        <v>144</v>
      </c>
      <c r="F15" s="6" t="s">
        <v>145</v>
      </c>
      <c r="G15" s="24">
        <f>COUNTIF(Enrollments_Table[student_id],Student_Table[[#This Row],[student_id]])</f>
        <v>1</v>
      </c>
    </row>
    <row r="16" spans="1:9" x14ac:dyDescent="0.25">
      <c r="A16" s="5">
        <v>1015</v>
      </c>
      <c r="B16" s="4" t="s">
        <v>132</v>
      </c>
      <c r="C16" s="4" t="s">
        <v>146</v>
      </c>
      <c r="D16" s="4" t="s">
        <v>140</v>
      </c>
      <c r="E16" s="4" t="s">
        <v>147</v>
      </c>
      <c r="F16" s="6" t="s">
        <v>148</v>
      </c>
      <c r="G16" s="24">
        <f>COUNTIF(Enrollments_Table[student_id],Student_Table[[#This Row],[student_id]])</f>
        <v>1</v>
      </c>
    </row>
    <row r="17" spans="1:7" x14ac:dyDescent="0.25">
      <c r="A17" s="5">
        <v>1016</v>
      </c>
      <c r="B17" s="4" t="s">
        <v>149</v>
      </c>
      <c r="C17" s="4" t="s">
        <v>150</v>
      </c>
      <c r="D17" s="4" t="s">
        <v>106</v>
      </c>
      <c r="E17" s="4" t="s">
        <v>151</v>
      </c>
      <c r="F17" s="6" t="s">
        <v>152</v>
      </c>
      <c r="G17" s="24">
        <f>COUNTIF(Enrollments_Table[student_id],Student_Table[[#This Row],[student_id]])</f>
        <v>2</v>
      </c>
    </row>
    <row r="18" spans="1:7" x14ac:dyDescent="0.25">
      <c r="A18" s="5">
        <v>1017</v>
      </c>
      <c r="B18" s="4" t="s">
        <v>153</v>
      </c>
      <c r="C18" s="4" t="s">
        <v>154</v>
      </c>
      <c r="D18" s="4" t="s">
        <v>133</v>
      </c>
      <c r="E18" s="4" t="s">
        <v>155</v>
      </c>
      <c r="F18" s="6" t="s">
        <v>156</v>
      </c>
      <c r="G18" s="24">
        <f>COUNTIF(Enrollments_Table[student_id],Student_Table[[#This Row],[student_id]])</f>
        <v>2</v>
      </c>
    </row>
    <row r="19" spans="1:7" x14ac:dyDescent="0.25">
      <c r="A19" s="5">
        <v>1018</v>
      </c>
      <c r="B19" s="4" t="s">
        <v>139</v>
      </c>
      <c r="C19" s="4" t="s">
        <v>146</v>
      </c>
      <c r="D19" s="4" t="s">
        <v>106</v>
      </c>
      <c r="E19" s="4" t="s">
        <v>157</v>
      </c>
      <c r="F19" s="6" t="s">
        <v>158</v>
      </c>
      <c r="G19" s="24">
        <f>COUNTIF(Enrollments_Table[student_id],Student_Table[[#This Row],[student_id]])</f>
        <v>1</v>
      </c>
    </row>
    <row r="20" spans="1:7" x14ac:dyDescent="0.25">
      <c r="A20" s="5">
        <v>1019</v>
      </c>
      <c r="B20" s="4" t="s">
        <v>120</v>
      </c>
      <c r="C20" s="4" t="s">
        <v>143</v>
      </c>
      <c r="D20" s="4" t="s">
        <v>140</v>
      </c>
      <c r="E20" s="4" t="s">
        <v>159</v>
      </c>
      <c r="F20" s="6" t="s">
        <v>160</v>
      </c>
      <c r="G20" s="24">
        <f>COUNTIF(Enrollments_Table[student_id],Student_Table[[#This Row],[student_id]])</f>
        <v>1</v>
      </c>
    </row>
    <row r="21" spans="1:7" x14ac:dyDescent="0.25">
      <c r="A21" s="5">
        <v>1020</v>
      </c>
      <c r="B21" s="4" t="s">
        <v>161</v>
      </c>
      <c r="C21" s="4" t="s">
        <v>114</v>
      </c>
      <c r="D21" s="4" t="s">
        <v>101</v>
      </c>
      <c r="E21" s="4" t="s">
        <v>162</v>
      </c>
      <c r="F21" s="6" t="s">
        <v>163</v>
      </c>
      <c r="G21" s="24">
        <f>COUNTIF(Enrollments_Table[student_id],Student_Table[[#This Row],[student_id]])</f>
        <v>1</v>
      </c>
    </row>
    <row r="22" spans="1:7" x14ac:dyDescent="0.25">
      <c r="A22" s="5">
        <v>1021</v>
      </c>
      <c r="B22" s="4" t="s">
        <v>96</v>
      </c>
      <c r="C22" s="4" t="s">
        <v>164</v>
      </c>
      <c r="D22" s="4" t="s">
        <v>129</v>
      </c>
      <c r="E22" s="4" t="s">
        <v>165</v>
      </c>
      <c r="F22" s="6" t="s">
        <v>166</v>
      </c>
      <c r="G22" s="24">
        <f>COUNTIF(Enrollments_Table[student_id],Student_Table[[#This Row],[student_id]])</f>
        <v>2</v>
      </c>
    </row>
    <row r="23" spans="1:7" x14ac:dyDescent="0.25">
      <c r="A23" s="5">
        <v>1022</v>
      </c>
      <c r="B23" s="4" t="s">
        <v>167</v>
      </c>
      <c r="C23" s="4" t="s">
        <v>164</v>
      </c>
      <c r="D23" s="4" t="s">
        <v>101</v>
      </c>
      <c r="E23" s="4" t="s">
        <v>168</v>
      </c>
      <c r="F23" s="6" t="s">
        <v>169</v>
      </c>
      <c r="G23" s="24">
        <f>COUNTIF(Enrollments_Table[student_id],Student_Table[[#This Row],[student_id]])</f>
        <v>1</v>
      </c>
    </row>
    <row r="24" spans="1:7" x14ac:dyDescent="0.25">
      <c r="A24" s="5">
        <v>1023</v>
      </c>
      <c r="B24" s="4" t="s">
        <v>120</v>
      </c>
      <c r="C24" s="4" t="s">
        <v>105</v>
      </c>
      <c r="D24" s="4" t="s">
        <v>140</v>
      </c>
      <c r="E24" s="4" t="s">
        <v>170</v>
      </c>
      <c r="F24" s="6" t="s">
        <v>171</v>
      </c>
      <c r="G24" s="24">
        <f>COUNTIF(Enrollments_Table[student_id],Student_Table[[#This Row],[student_id]])</f>
        <v>1</v>
      </c>
    </row>
    <row r="25" spans="1:7" x14ac:dyDescent="0.25">
      <c r="A25" s="5">
        <v>1024</v>
      </c>
      <c r="B25" s="4" t="s">
        <v>172</v>
      </c>
      <c r="C25" s="4" t="s">
        <v>164</v>
      </c>
      <c r="D25" s="4" t="s">
        <v>173</v>
      </c>
      <c r="E25" s="4" t="s">
        <v>174</v>
      </c>
      <c r="F25" s="6" t="s">
        <v>175</v>
      </c>
      <c r="G25" s="24">
        <f>COUNTIF(Enrollments_Table[student_id],Student_Table[[#This Row],[student_id]])</f>
        <v>1</v>
      </c>
    </row>
    <row r="26" spans="1:7" x14ac:dyDescent="0.25">
      <c r="A26" s="5">
        <v>1025</v>
      </c>
      <c r="B26" s="4" t="s">
        <v>176</v>
      </c>
      <c r="C26" s="4" t="s">
        <v>121</v>
      </c>
      <c r="D26" s="4" t="s">
        <v>106</v>
      </c>
      <c r="E26" s="4" t="s">
        <v>177</v>
      </c>
      <c r="F26" s="6" t="s">
        <v>178</v>
      </c>
      <c r="G26" s="24">
        <f>COUNTIF(Enrollments_Table[student_id],Student_Table[[#This Row],[student_id]])</f>
        <v>1</v>
      </c>
    </row>
    <row r="27" spans="1:7" x14ac:dyDescent="0.25">
      <c r="A27" s="5">
        <v>1026</v>
      </c>
      <c r="B27" s="4" t="s">
        <v>179</v>
      </c>
      <c r="C27" s="4" t="s">
        <v>180</v>
      </c>
      <c r="D27" s="4" t="s">
        <v>173</v>
      </c>
      <c r="E27" s="4" t="s">
        <v>181</v>
      </c>
      <c r="F27" s="6" t="s">
        <v>182</v>
      </c>
      <c r="G27" s="24">
        <f>COUNTIF(Enrollments_Table[student_id],Student_Table[[#This Row],[student_id]])</f>
        <v>2</v>
      </c>
    </row>
    <row r="28" spans="1:7" x14ac:dyDescent="0.25">
      <c r="A28" s="5">
        <v>1027</v>
      </c>
      <c r="B28" s="4" t="s">
        <v>117</v>
      </c>
      <c r="C28" s="4" t="s">
        <v>121</v>
      </c>
      <c r="D28" s="4" t="s">
        <v>173</v>
      </c>
      <c r="E28" s="4" t="s">
        <v>183</v>
      </c>
      <c r="F28" s="6" t="s">
        <v>184</v>
      </c>
      <c r="G28" s="24">
        <f>COUNTIF(Enrollments_Table[student_id],Student_Table[[#This Row],[student_id]])</f>
        <v>1</v>
      </c>
    </row>
    <row r="29" spans="1:7" x14ac:dyDescent="0.25">
      <c r="A29" s="5">
        <v>1028</v>
      </c>
      <c r="B29" s="4" t="s">
        <v>153</v>
      </c>
      <c r="C29" s="4" t="s">
        <v>121</v>
      </c>
      <c r="D29" s="4" t="s">
        <v>129</v>
      </c>
      <c r="E29" s="4" t="s">
        <v>185</v>
      </c>
      <c r="F29" s="6" t="s">
        <v>186</v>
      </c>
      <c r="G29" s="24">
        <f>COUNTIF(Enrollments_Table[student_id],Student_Table[[#This Row],[student_id]])</f>
        <v>1</v>
      </c>
    </row>
    <row r="30" spans="1:7" x14ac:dyDescent="0.25">
      <c r="A30" s="5">
        <v>1029</v>
      </c>
      <c r="B30" s="4" t="s">
        <v>161</v>
      </c>
      <c r="C30" s="4" t="s">
        <v>150</v>
      </c>
      <c r="D30" s="4" t="s">
        <v>93</v>
      </c>
      <c r="E30" s="4" t="s">
        <v>187</v>
      </c>
      <c r="F30" s="6" t="s">
        <v>188</v>
      </c>
      <c r="G30" s="24">
        <f>COUNTIF(Enrollments_Table[student_id],Student_Table[[#This Row],[student_id]])</f>
        <v>1</v>
      </c>
    </row>
    <row r="31" spans="1:7" x14ac:dyDescent="0.25">
      <c r="A31" s="10">
        <v>1030</v>
      </c>
      <c r="B31" s="11" t="s">
        <v>113</v>
      </c>
      <c r="C31" s="11" t="s">
        <v>128</v>
      </c>
      <c r="D31" s="11" t="s">
        <v>106</v>
      </c>
      <c r="E31" s="11" t="s">
        <v>189</v>
      </c>
      <c r="F31" s="12" t="s">
        <v>190</v>
      </c>
      <c r="G31" s="26">
        <f>COUNTIF(Enrollments_Table[student_id],Student_Table[[#This Row],[student_id]])</f>
        <v>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activeCell="C8" sqref="C8"/>
    </sheetView>
  </sheetViews>
  <sheetFormatPr defaultRowHeight="15" x14ac:dyDescent="0.25"/>
  <cols>
    <col min="1" max="1" width="26" customWidth="1"/>
    <col min="2" max="2" width="64" customWidth="1"/>
    <col min="3" max="12" width="18" customWidth="1"/>
  </cols>
  <sheetData>
    <row r="1" spans="1:6" x14ac:dyDescent="0.25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280</v>
      </c>
    </row>
    <row r="2" spans="1:6" x14ac:dyDescent="0.25">
      <c r="A2">
        <v>501</v>
      </c>
      <c r="B2" t="s">
        <v>196</v>
      </c>
      <c r="C2" t="s">
        <v>197</v>
      </c>
      <c r="D2" t="s">
        <v>110</v>
      </c>
      <c r="E2" s="38">
        <v>25000</v>
      </c>
      <c r="F2" s="38">
        <f>(SUMIF(Batch_Table[teacher_id],Teacher_Table[[#This Row],[teacher_id]],Batch_Table[revenue_from_batch]))-Teacher_Table[[#This Row],[monthly_salary]]</f>
        <v>203000</v>
      </c>
    </row>
    <row r="3" spans="1:6" x14ac:dyDescent="0.25">
      <c r="A3">
        <v>502</v>
      </c>
      <c r="B3" t="s">
        <v>198</v>
      </c>
      <c r="C3" t="s">
        <v>199</v>
      </c>
      <c r="D3" t="s">
        <v>140</v>
      </c>
      <c r="E3" s="38">
        <v>25000</v>
      </c>
      <c r="F3" s="38">
        <f>(SUMIF(Batch_Table[teacher_id],Teacher_Table[[#This Row],[teacher_id]],Batch_Table[revenue_from_batch]))-Teacher_Table[[#This Row],[monthly_salary]]</f>
        <v>245000</v>
      </c>
    </row>
    <row r="4" spans="1:6" x14ac:dyDescent="0.25">
      <c r="A4">
        <v>503</v>
      </c>
      <c r="B4" t="s">
        <v>200</v>
      </c>
      <c r="C4" t="s">
        <v>201</v>
      </c>
      <c r="D4" t="s">
        <v>140</v>
      </c>
      <c r="E4" s="38">
        <v>30000</v>
      </c>
      <c r="F4" s="38">
        <f>(SUMIF(Batch_Table[teacher_id],Teacher_Table[[#This Row],[teacher_id]],Batch_Table[revenue_from_batch]))-Teacher_Table[[#This Row],[monthly_salary]]</f>
        <v>150000</v>
      </c>
    </row>
    <row r="5" spans="1:6" x14ac:dyDescent="0.25">
      <c r="A5">
        <v>504</v>
      </c>
      <c r="B5" t="s">
        <v>202</v>
      </c>
      <c r="C5" t="s">
        <v>203</v>
      </c>
      <c r="D5" t="s">
        <v>110</v>
      </c>
      <c r="E5" s="38">
        <v>30000</v>
      </c>
      <c r="F5" s="38">
        <f>(SUMIF(Batch_Table[teacher_id],Teacher_Table[[#This Row],[teacher_id]],Batch_Table[revenue_from_batch]))-Teacher_Table[[#This Row],[monthly_salary]]</f>
        <v>-30000</v>
      </c>
    </row>
    <row r="6" spans="1:6" x14ac:dyDescent="0.25">
      <c r="A6">
        <v>505</v>
      </c>
      <c r="B6" t="s">
        <v>204</v>
      </c>
      <c r="C6" t="s">
        <v>205</v>
      </c>
      <c r="D6" t="s">
        <v>173</v>
      </c>
      <c r="E6" s="38">
        <v>30000</v>
      </c>
      <c r="F6" s="38">
        <f>(SUMIF(Batch_Table[teacher_id],Teacher_Table[[#This Row],[teacher_id]],Batch_Table[revenue_from_batch]))-Teacher_Table[[#This Row],[monthly_salary]]</f>
        <v>771000</v>
      </c>
    </row>
    <row r="7" spans="1:6" x14ac:dyDescent="0.25">
      <c r="A7">
        <v>506</v>
      </c>
      <c r="B7" t="s">
        <v>206</v>
      </c>
      <c r="C7" t="s">
        <v>207</v>
      </c>
      <c r="D7" t="s">
        <v>110</v>
      </c>
      <c r="E7" s="38">
        <v>25000</v>
      </c>
      <c r="F7" s="38">
        <f>(SUMIF(Batch_Table[teacher_id],Teacher_Table[[#This Row],[teacher_id]],Batch_Table[revenue_from_batch]))-Teacher_Table[[#This Row],[monthly_salary]]</f>
        <v>162500</v>
      </c>
    </row>
    <row r="8" spans="1:6" x14ac:dyDescent="0.25">
      <c r="A8">
        <v>507</v>
      </c>
      <c r="B8" t="s">
        <v>208</v>
      </c>
      <c r="C8" t="s">
        <v>209</v>
      </c>
      <c r="D8" t="s">
        <v>110</v>
      </c>
      <c r="E8" s="38">
        <v>40000</v>
      </c>
      <c r="F8" s="38">
        <f>(SUMIF(Batch_Table[teacher_id],Teacher_Table[[#This Row],[teacher_id]],Batch_Table[revenue_from_batch]))-Teacher_Table[[#This Row],[monthly_salary]]</f>
        <v>-40000</v>
      </c>
    </row>
    <row r="9" spans="1:6" x14ac:dyDescent="0.25">
      <c r="A9">
        <v>508</v>
      </c>
      <c r="B9" t="s">
        <v>210</v>
      </c>
      <c r="C9" t="s">
        <v>211</v>
      </c>
      <c r="D9" t="s">
        <v>140</v>
      </c>
      <c r="E9" s="38">
        <v>40000</v>
      </c>
      <c r="F9" s="38">
        <f>(SUMIF(Batch_Table[teacher_id],Teacher_Table[[#This Row],[teacher_id]],Batch_Table[revenue_from_batch]))-Teacher_Table[[#This Row],[monthly_salary]]</f>
        <v>692000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>
      <selection activeCell="C8" sqref="C8"/>
    </sheetView>
  </sheetViews>
  <sheetFormatPr defaultRowHeight="15" x14ac:dyDescent="0.25"/>
  <cols>
    <col min="1" max="1" width="26" customWidth="1"/>
    <col min="2" max="2" width="22.5703125" customWidth="1"/>
    <col min="3" max="6" width="18" customWidth="1"/>
    <col min="7" max="7" width="7.85546875" customWidth="1"/>
    <col min="8" max="12" width="18" customWidth="1"/>
  </cols>
  <sheetData>
    <row r="1" spans="1:8" x14ac:dyDescent="0.25">
      <c r="A1" t="s">
        <v>212</v>
      </c>
      <c r="B1" t="s">
        <v>65</v>
      </c>
      <c r="C1" t="s">
        <v>213</v>
      </c>
      <c r="D1" t="s">
        <v>214</v>
      </c>
      <c r="E1" t="s">
        <v>260</v>
      </c>
      <c r="F1" t="s">
        <v>262</v>
      </c>
      <c r="H1" s="27" t="s">
        <v>270</v>
      </c>
    </row>
    <row r="2" spans="1:8" x14ac:dyDescent="0.25">
      <c r="A2">
        <v>201</v>
      </c>
      <c r="B2" t="s">
        <v>68</v>
      </c>
      <c r="C2">
        <v>12</v>
      </c>
      <c r="D2">
        <v>6000</v>
      </c>
      <c r="E2">
        <f>SUMIF(Batch_Table[course_id],Course_Table[[#This Row],[course_id]],Batch_Table[no_enrolled_batch])</f>
        <v>9</v>
      </c>
      <c r="F2">
        <f>Course_Table[[#This Row],[price]]*Course_Table[[#This Row],[no_enrolled]]</f>
        <v>54000</v>
      </c>
      <c r="H2" s="37">
        <f>AVERAGE(Course_Table[price])</f>
        <v>9250</v>
      </c>
    </row>
    <row r="3" spans="1:8" x14ac:dyDescent="0.25">
      <c r="A3">
        <v>202</v>
      </c>
      <c r="B3" t="s">
        <v>215</v>
      </c>
      <c r="C3">
        <v>12</v>
      </c>
      <c r="D3">
        <v>7500</v>
      </c>
      <c r="E3">
        <f>SUMIF(Batch_Table[course_id],Course_Table[[#This Row],[course_id]],Batch_Table[no_enrolled_batch])</f>
        <v>5</v>
      </c>
      <c r="F3">
        <f>Course_Table[[#This Row],[price]]*Course_Table[[#This Row],[no_enrolled]]</f>
        <v>37500</v>
      </c>
    </row>
    <row r="4" spans="1:8" x14ac:dyDescent="0.25">
      <c r="A4">
        <v>203</v>
      </c>
      <c r="B4" t="s">
        <v>67</v>
      </c>
      <c r="C4">
        <v>16</v>
      </c>
      <c r="D4">
        <v>12000</v>
      </c>
      <c r="E4">
        <f>SUMIF(Batch_Table[course_id],Course_Table[[#This Row],[course_id]],Batch_Table[no_enrolled_batch])</f>
        <v>5</v>
      </c>
      <c r="F4">
        <f>Course_Table[[#This Row],[price]]*Course_Table[[#This Row],[no_enrolled]]</f>
        <v>60000</v>
      </c>
    </row>
    <row r="5" spans="1:8" x14ac:dyDescent="0.25">
      <c r="A5">
        <v>204</v>
      </c>
      <c r="B5" t="s">
        <v>66</v>
      </c>
      <c r="C5">
        <v>16</v>
      </c>
      <c r="D5">
        <v>12000</v>
      </c>
      <c r="E5">
        <f>SUMIF(Batch_Table[course_id],Course_Table[[#This Row],[course_id]],Batch_Table[no_enrolled_batch])</f>
        <v>10</v>
      </c>
      <c r="F5">
        <f>Course_Table[[#This Row],[price]]*Course_Table[[#This Row],[no_enrolled]]</f>
        <v>120000</v>
      </c>
    </row>
    <row r="6" spans="1:8" x14ac:dyDescent="0.25">
      <c r="A6">
        <v>205</v>
      </c>
      <c r="B6" t="s">
        <v>216</v>
      </c>
      <c r="C6">
        <v>12</v>
      </c>
      <c r="D6">
        <v>9000</v>
      </c>
      <c r="E6">
        <f>SUMIF(Batch_Table[course_id],Course_Table[[#This Row],[course_id]],Batch_Table[no_enrolled_batch])</f>
        <v>3</v>
      </c>
      <c r="F6">
        <f>Course_Table[[#This Row],[price]]*Course_Table[[#This Row],[no_enrolled]]</f>
        <v>27000</v>
      </c>
    </row>
    <row r="7" spans="1:8" x14ac:dyDescent="0.25">
      <c r="A7">
        <v>206</v>
      </c>
      <c r="B7" t="s">
        <v>217</v>
      </c>
      <c r="C7">
        <v>12</v>
      </c>
      <c r="D7">
        <v>9000</v>
      </c>
      <c r="E7">
        <f>SUMIF(Batch_Table[course_id],Course_Table[[#This Row],[course_id]],Batch_Table[no_enrolled_batch])</f>
        <v>4</v>
      </c>
      <c r="F7">
        <f>Course_Table[[#This Row],[price]]*Course_Table[[#This Row],[no_enrolled]]</f>
        <v>36000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"/>
  <sheetViews>
    <sheetView tabSelected="1" zoomScale="85" zoomScaleNormal="85" workbookViewId="0">
      <selection activeCell="I2" sqref="I2"/>
    </sheetView>
  </sheetViews>
  <sheetFormatPr defaultRowHeight="15" x14ac:dyDescent="0.25"/>
  <cols>
    <col min="1" max="1" width="26" customWidth="1"/>
    <col min="2" max="2" width="64" customWidth="1"/>
    <col min="3" max="8" width="18" customWidth="1"/>
    <col min="9" max="9" width="14.42578125" bestFit="1" customWidth="1"/>
    <col min="10" max="10" width="10.42578125" bestFit="1" customWidth="1"/>
    <col min="11" max="11" width="15.7109375" bestFit="1" customWidth="1"/>
  </cols>
  <sheetData>
    <row r="1" spans="1:12" x14ac:dyDescent="0.25">
      <c r="A1" t="s">
        <v>218</v>
      </c>
      <c r="B1" t="s">
        <v>212</v>
      </c>
      <c r="C1" t="s">
        <v>191</v>
      </c>
      <c r="D1" t="s">
        <v>219</v>
      </c>
      <c r="E1" t="s">
        <v>220</v>
      </c>
      <c r="F1" t="s">
        <v>221</v>
      </c>
      <c r="G1" t="s">
        <v>261</v>
      </c>
      <c r="H1" t="s">
        <v>281</v>
      </c>
      <c r="I1" t="s">
        <v>287</v>
      </c>
      <c r="K1" s="23" t="s">
        <v>288</v>
      </c>
    </row>
    <row r="2" spans="1:12" x14ac:dyDescent="0.25">
      <c r="A2">
        <v>301</v>
      </c>
      <c r="B2">
        <v>201</v>
      </c>
      <c r="C2">
        <v>508</v>
      </c>
      <c r="D2" s="3">
        <v>45692</v>
      </c>
      <c r="E2">
        <v>2</v>
      </c>
      <c r="F2" t="s">
        <v>222</v>
      </c>
      <c r="G2">
        <f>COUNTIF(Enrollments_Table[batch_id],Batch_Table[[#This Row],[batch_id]])</f>
        <v>4</v>
      </c>
      <c r="H2">
        <f>Batch_Table[[#This Row],[no_enrolled_batch]]*VLOOKUP(Batch_Table[[#This Row],[course_id]],Course_Table[],6)</f>
        <v>216000</v>
      </c>
      <c r="I2" s="34">
        <f ca="1">TODAY()+(MOD(7-(WEEKDAY(TODAY(),3)-WEEKDAY(_xlfn.MINIFS(Sessions_Table[session_date],Sessions_Table[batch_id],Batch_Table[[#This Row],[batch_id]]),3)),7))</f>
        <v>46091</v>
      </c>
      <c r="K2" s="39">
        <v>46090</v>
      </c>
      <c r="L2" t="s">
        <v>289</v>
      </c>
    </row>
    <row r="3" spans="1:12" x14ac:dyDescent="0.25">
      <c r="A3">
        <v>302</v>
      </c>
      <c r="B3">
        <v>201</v>
      </c>
      <c r="C3">
        <v>502</v>
      </c>
      <c r="D3" s="3">
        <v>45692</v>
      </c>
      <c r="E3">
        <v>2</v>
      </c>
      <c r="F3" t="s">
        <v>223</v>
      </c>
      <c r="G3">
        <f>COUNTIF(Enrollments_Table[batch_id],Batch_Table[[#This Row],[batch_id]])</f>
        <v>5</v>
      </c>
      <c r="H3">
        <f>Batch_Table[[#This Row],[no_enrolled_batch]]*VLOOKUP(Batch_Table[[#This Row],[course_id]],Course_Table[],6)</f>
        <v>270000</v>
      </c>
      <c r="I3" s="34">
        <f ca="1">TODAY()+(MOD(7-(WEEKDAY(TODAY(),3)-WEEKDAY(_xlfn.MINIFS(Sessions_Table[session_date],Sessions_Table[batch_id],Batch_Table[[#This Row],[batch_id]]),3)),7))</f>
        <v>46091</v>
      </c>
    </row>
    <row r="4" spans="1:12" x14ac:dyDescent="0.25">
      <c r="A4">
        <v>303</v>
      </c>
      <c r="B4">
        <v>202</v>
      </c>
      <c r="C4">
        <v>504</v>
      </c>
      <c r="D4" s="3">
        <v>45700</v>
      </c>
      <c r="E4">
        <v>3</v>
      </c>
      <c r="F4" t="s">
        <v>224</v>
      </c>
      <c r="G4">
        <f>COUNTIF(Enrollments_Table[batch_id],Batch_Table[[#This Row],[batch_id]])</f>
        <v>0</v>
      </c>
      <c r="H4">
        <f>Batch_Table[[#This Row],[no_enrolled_batch]]*VLOOKUP(Batch_Table[[#This Row],[course_id]],Course_Table[],6)</f>
        <v>0</v>
      </c>
      <c r="I4" s="34">
        <f ca="1">TODAY()+(MOD(7-(WEEKDAY(TODAY(),3)-WEEKDAY(_xlfn.MINIFS(Sessions_Table[session_date],Sessions_Table[batch_id],Batch_Table[[#This Row],[batch_id]]),3)),7))</f>
        <v>46092</v>
      </c>
    </row>
    <row r="5" spans="1:12" x14ac:dyDescent="0.25">
      <c r="A5">
        <v>304</v>
      </c>
      <c r="B5">
        <v>202</v>
      </c>
      <c r="C5">
        <v>506</v>
      </c>
      <c r="D5" s="3">
        <v>45696</v>
      </c>
      <c r="E5">
        <v>3</v>
      </c>
      <c r="F5" t="s">
        <v>224</v>
      </c>
      <c r="G5">
        <f>COUNTIF(Enrollments_Table[batch_id],Batch_Table[[#This Row],[batch_id]])</f>
        <v>5</v>
      </c>
      <c r="H5">
        <f>Batch_Table[[#This Row],[no_enrolled_batch]]*VLOOKUP(Batch_Table[[#This Row],[course_id]],Course_Table[],6)</f>
        <v>187500</v>
      </c>
      <c r="I5" s="34">
        <f ca="1">TODAY()+(MOD(7-(WEEKDAY(TODAY(),3)-WEEKDAY(_xlfn.MINIFS(Sessions_Table[session_date],Sessions_Table[batch_id],Batch_Table[[#This Row],[batch_id]]),3)),7))</f>
        <v>46095</v>
      </c>
    </row>
    <row r="6" spans="1:12" x14ac:dyDescent="0.25">
      <c r="A6">
        <v>305</v>
      </c>
      <c r="B6">
        <v>203</v>
      </c>
      <c r="C6">
        <v>503</v>
      </c>
      <c r="D6" s="3">
        <v>45675</v>
      </c>
      <c r="E6">
        <v>3</v>
      </c>
      <c r="F6" t="s">
        <v>222</v>
      </c>
      <c r="G6">
        <f>COUNTIF(Enrollments_Table[batch_id],Batch_Table[[#This Row],[batch_id]])</f>
        <v>3</v>
      </c>
      <c r="H6">
        <f>Batch_Table[[#This Row],[no_enrolled_batch]]*VLOOKUP(Batch_Table[[#This Row],[course_id]],Course_Table[],6)</f>
        <v>180000</v>
      </c>
      <c r="I6" s="34">
        <f ca="1">TODAY()+(MOD(7-(WEEKDAY(TODAY(),3)-WEEKDAY(_xlfn.MINIFS(Sessions_Table[session_date],Sessions_Table[batch_id],Batch_Table[[#This Row],[batch_id]]),3)),7))</f>
        <v>46095</v>
      </c>
    </row>
    <row r="7" spans="1:12" x14ac:dyDescent="0.25">
      <c r="A7">
        <v>306</v>
      </c>
      <c r="B7">
        <v>203</v>
      </c>
      <c r="C7">
        <v>501</v>
      </c>
      <c r="D7" s="3">
        <v>45691</v>
      </c>
      <c r="E7">
        <v>2</v>
      </c>
      <c r="F7" t="s">
        <v>224</v>
      </c>
      <c r="G7">
        <f>COUNTIF(Enrollments_Table[batch_id],Batch_Table[[#This Row],[batch_id]])</f>
        <v>2</v>
      </c>
      <c r="H7">
        <f>Batch_Table[[#This Row],[no_enrolled_batch]]*VLOOKUP(Batch_Table[[#This Row],[course_id]],Course_Table[],6)</f>
        <v>120000</v>
      </c>
      <c r="I7" s="34">
        <f ca="1">TODAY()+(MOD(7-(WEEKDAY(TODAY(),3)-WEEKDAY(_xlfn.MINIFS(Sessions_Table[session_date],Sessions_Table[batch_id],Batch_Table[[#This Row],[batch_id]]),3)),7))</f>
        <v>46090</v>
      </c>
    </row>
    <row r="8" spans="1:12" x14ac:dyDescent="0.25">
      <c r="A8">
        <v>307</v>
      </c>
      <c r="B8">
        <v>204</v>
      </c>
      <c r="C8">
        <v>508</v>
      </c>
      <c r="D8" s="3">
        <v>45690</v>
      </c>
      <c r="E8">
        <v>2</v>
      </c>
      <c r="F8" t="s">
        <v>224</v>
      </c>
      <c r="G8">
        <f>COUNTIF(Enrollments_Table[batch_id],Batch_Table[[#This Row],[batch_id]])</f>
        <v>4</v>
      </c>
      <c r="H8">
        <f>Batch_Table[[#This Row],[no_enrolled_batch]]*VLOOKUP(Batch_Table[[#This Row],[course_id]],Course_Table[],6)</f>
        <v>480000</v>
      </c>
      <c r="I8" s="34">
        <f ca="1">TODAY()+(MOD(7-(WEEKDAY(TODAY(),3)-WEEKDAY(_xlfn.MINIFS(Sessions_Table[session_date],Sessions_Table[batch_id],Batch_Table[[#This Row],[batch_id]]),3)),7))</f>
        <v>46096</v>
      </c>
    </row>
    <row r="9" spans="1:12" x14ac:dyDescent="0.25">
      <c r="A9">
        <v>308</v>
      </c>
      <c r="B9">
        <v>204</v>
      </c>
      <c r="C9">
        <v>505</v>
      </c>
      <c r="D9" s="3">
        <v>45701</v>
      </c>
      <c r="E9">
        <v>2</v>
      </c>
      <c r="F9" t="s">
        <v>224</v>
      </c>
      <c r="G9">
        <f>COUNTIF(Enrollments_Table[batch_id],Batch_Table[[#This Row],[batch_id]])</f>
        <v>6</v>
      </c>
      <c r="H9">
        <f>Batch_Table[[#This Row],[no_enrolled_batch]]*VLOOKUP(Batch_Table[[#This Row],[course_id]],Course_Table[],6)</f>
        <v>720000</v>
      </c>
      <c r="I9" s="34">
        <f ca="1">TODAY()+(MOD(7-(WEEKDAY(TODAY(),3)-WEEKDAY(_xlfn.MINIFS(Sessions_Table[session_date],Sessions_Table[batch_id],Batch_Table[[#This Row],[batch_id]]),3)),7))</f>
        <v>46093</v>
      </c>
    </row>
    <row r="10" spans="1:12" x14ac:dyDescent="0.25">
      <c r="A10">
        <v>309</v>
      </c>
      <c r="B10">
        <v>205</v>
      </c>
      <c r="C10">
        <v>505</v>
      </c>
      <c r="D10" s="3">
        <v>45688</v>
      </c>
      <c r="E10">
        <v>3</v>
      </c>
      <c r="F10" t="s">
        <v>223</v>
      </c>
      <c r="G10">
        <f>COUNTIF(Enrollments_Table[batch_id],Batch_Table[[#This Row],[batch_id]])</f>
        <v>2</v>
      </c>
      <c r="H10">
        <f>Batch_Table[[#This Row],[no_enrolled_batch]]*VLOOKUP(Batch_Table[[#This Row],[course_id]],Course_Table[],6)</f>
        <v>54000</v>
      </c>
      <c r="I10" s="34">
        <f ca="1">TODAY()+(MOD(7-(WEEKDAY(TODAY(),3)-WEEKDAY(_xlfn.MINIFS(Sessions_Table[session_date],Sessions_Table[batch_id],Batch_Table[[#This Row],[batch_id]]),3)),7))</f>
        <v>46094</v>
      </c>
    </row>
    <row r="11" spans="1:12" x14ac:dyDescent="0.25">
      <c r="A11">
        <v>310</v>
      </c>
      <c r="B11">
        <v>205</v>
      </c>
      <c r="C11">
        <v>505</v>
      </c>
      <c r="D11" s="3">
        <v>45673</v>
      </c>
      <c r="E11">
        <v>2</v>
      </c>
      <c r="F11" t="s">
        <v>222</v>
      </c>
      <c r="G11">
        <f>COUNTIF(Enrollments_Table[batch_id],Batch_Table[[#This Row],[batch_id]])</f>
        <v>1</v>
      </c>
      <c r="H11">
        <f>Batch_Table[[#This Row],[no_enrolled_batch]]*VLOOKUP(Batch_Table[[#This Row],[course_id]],Course_Table[],6)</f>
        <v>27000</v>
      </c>
      <c r="I11" s="34">
        <f ca="1">TODAY()+(MOD(7-(WEEKDAY(TODAY(),3)-WEEKDAY(_xlfn.MINIFS(Sessions_Table[session_date],Sessions_Table[batch_id],Batch_Table[[#This Row],[batch_id]]),3)),7))</f>
        <v>46093</v>
      </c>
    </row>
    <row r="12" spans="1:12" x14ac:dyDescent="0.25">
      <c r="A12">
        <v>311</v>
      </c>
      <c r="B12">
        <v>206</v>
      </c>
      <c r="C12">
        <v>508</v>
      </c>
      <c r="D12" s="3">
        <v>45688</v>
      </c>
      <c r="E12">
        <v>2</v>
      </c>
      <c r="F12" t="s">
        <v>223</v>
      </c>
      <c r="G12">
        <f>COUNTIF(Enrollments_Table[batch_id],Batch_Table[[#This Row],[batch_id]])</f>
        <v>1</v>
      </c>
      <c r="H12">
        <f>Batch_Table[[#This Row],[no_enrolled_batch]]*VLOOKUP(Batch_Table[[#This Row],[course_id]],Course_Table[],6)</f>
        <v>36000</v>
      </c>
      <c r="I12" s="34">
        <f ca="1">TODAY()+(MOD(7-(WEEKDAY(TODAY(),3)-WEEKDAY(_xlfn.MINIFS(Sessions_Table[session_date],Sessions_Table[batch_id],Batch_Table[[#This Row],[batch_id]]),3)),7))</f>
        <v>46094</v>
      </c>
    </row>
    <row r="13" spans="1:12" x14ac:dyDescent="0.25">
      <c r="A13">
        <v>312</v>
      </c>
      <c r="B13">
        <v>206</v>
      </c>
      <c r="C13">
        <v>501</v>
      </c>
      <c r="D13" s="3">
        <v>45663</v>
      </c>
      <c r="E13">
        <v>2</v>
      </c>
      <c r="F13" t="s">
        <v>222</v>
      </c>
      <c r="G13">
        <f>COUNTIF(Enrollments_Table[batch_id],Batch_Table[[#This Row],[batch_id]])</f>
        <v>3</v>
      </c>
      <c r="H13">
        <f>Batch_Table[[#This Row],[no_enrolled_batch]]*VLOOKUP(Batch_Table[[#This Row],[course_id]],Course_Table[],6)</f>
        <v>108000</v>
      </c>
      <c r="I13" s="34">
        <f ca="1">TODAY()+(MOD(7-(WEEKDAY(TODAY(),3)-WEEKDAY(_xlfn.MINIFS(Sessions_Table[session_date],Sessions_Table[batch_id],Batch_Table[[#This Row],[batch_id]]),3)),7))</f>
        <v>46090</v>
      </c>
    </row>
    <row r="15" spans="1:12" x14ac:dyDescent="0.25">
      <c r="A15" s="23" t="s">
        <v>264</v>
      </c>
    </row>
    <row r="16" spans="1:12" x14ac:dyDescent="0.25">
      <c r="A16" s="24">
        <f>AVERAGE(Batch_Table[no_enrolled_batch])</f>
        <v>3</v>
      </c>
    </row>
  </sheetData>
  <dataConsolidate/>
  <phoneticPr fontId="6" type="noConversion"/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"/>
  <sheetViews>
    <sheetView topLeftCell="B1" workbookViewId="0">
      <selection activeCell="G2" sqref="G2"/>
    </sheetView>
  </sheetViews>
  <sheetFormatPr defaultRowHeight="15" x14ac:dyDescent="0.25"/>
  <cols>
    <col min="1" max="1" width="26" customWidth="1"/>
    <col min="2" max="2" width="64" customWidth="1"/>
    <col min="3" max="8" width="18" customWidth="1"/>
    <col min="9" max="9" width="26.85546875" bestFit="1" customWidth="1"/>
    <col min="10" max="12" width="18" customWidth="1"/>
  </cols>
  <sheetData>
    <row r="1" spans="1:7" x14ac:dyDescent="0.25">
      <c r="A1" t="s">
        <v>225</v>
      </c>
      <c r="B1" t="s">
        <v>85</v>
      </c>
      <c r="C1" t="s">
        <v>218</v>
      </c>
      <c r="D1" t="s">
        <v>226</v>
      </c>
      <c r="E1" t="s">
        <v>258</v>
      </c>
      <c r="F1" t="s">
        <v>259</v>
      </c>
      <c r="G1" t="s">
        <v>257</v>
      </c>
    </row>
    <row r="2" spans="1:7" x14ac:dyDescent="0.25">
      <c r="A2">
        <v>1</v>
      </c>
      <c r="B2">
        <v>1001</v>
      </c>
      <c r="C2">
        <v>307</v>
      </c>
      <c r="D2" s="3">
        <v>45703</v>
      </c>
      <c r="E2">
        <f>SUMIFS(Payment_Table[amount],Payment_Table[enroll_id],Enrollments_Table[[#This Row],[enroll_id]])</f>
        <v>12000</v>
      </c>
      <c r="F2">
        <f>VLOOKUP(INDEX(Batch_Table[#All],MATCH(Enrollments_Table[[#This Row],[batch_id]],Batch_Table[[#All],[batch_id]],0),2),Course_Table[#All],4,0)</f>
        <v>12000</v>
      </c>
      <c r="G2">
        <f>Enrollments_Table[[#This Row],[fees_generated]]-Enrollments_Table[[#This Row],[fees_paid]]</f>
        <v>0</v>
      </c>
    </row>
    <row r="3" spans="1:7" x14ac:dyDescent="0.25">
      <c r="A3">
        <v>2</v>
      </c>
      <c r="B3">
        <v>1002</v>
      </c>
      <c r="C3">
        <v>304</v>
      </c>
      <c r="D3" s="3">
        <v>45676</v>
      </c>
      <c r="E3">
        <f>SUMIFS(Payment_Table[amount],Payment_Table[enroll_id],Enrollments_Table[[#This Row],[enroll_id]])</f>
        <v>7500</v>
      </c>
      <c r="F3">
        <f>VLOOKUP(INDEX(Batch_Table[#All],MATCH(Enrollments_Table[[#This Row],[batch_id]],Batch_Table[[#All],[batch_id]],0),2),Course_Table[#All],4,0)</f>
        <v>7500</v>
      </c>
      <c r="G3">
        <f>Enrollments_Table[[#This Row],[fees_generated]]-Enrollments_Table[[#This Row],[fees_paid]]</f>
        <v>0</v>
      </c>
    </row>
    <row r="4" spans="1:7" x14ac:dyDescent="0.25">
      <c r="A4">
        <v>3</v>
      </c>
      <c r="B4">
        <v>1003</v>
      </c>
      <c r="C4">
        <v>306</v>
      </c>
      <c r="D4" s="3">
        <v>45694</v>
      </c>
      <c r="E4">
        <f>SUMIFS(Payment_Table[amount],Payment_Table[enroll_id],Enrollments_Table[[#This Row],[enroll_id]])</f>
        <v>12000</v>
      </c>
      <c r="F4">
        <f>VLOOKUP(INDEX(Batch_Table[#All],MATCH(Enrollments_Table[[#This Row],[batch_id]],Batch_Table[[#All],[batch_id]],0),2),Course_Table[#All],4,0)</f>
        <v>12000</v>
      </c>
      <c r="G4">
        <f>Enrollments_Table[[#This Row],[fees_generated]]-Enrollments_Table[[#This Row],[fees_paid]]</f>
        <v>0</v>
      </c>
    </row>
    <row r="5" spans="1:7" x14ac:dyDescent="0.25">
      <c r="A5">
        <v>4</v>
      </c>
      <c r="B5">
        <v>1004</v>
      </c>
      <c r="C5">
        <v>307</v>
      </c>
      <c r="D5" s="3">
        <v>45715</v>
      </c>
      <c r="E5">
        <f>SUMIFS(Payment_Table[amount],Payment_Table[enroll_id],Enrollments_Table[[#This Row],[enroll_id]])</f>
        <v>12000</v>
      </c>
      <c r="F5">
        <f>VLOOKUP(INDEX(Batch_Table[#All],MATCH(Enrollments_Table[[#This Row],[batch_id]],Batch_Table[[#All],[batch_id]],0),2),Course_Table[#All],4,0)</f>
        <v>12000</v>
      </c>
      <c r="G5">
        <f>Enrollments_Table[[#This Row],[fees_generated]]-Enrollments_Table[[#This Row],[fees_paid]]</f>
        <v>0</v>
      </c>
    </row>
    <row r="6" spans="1:7" x14ac:dyDescent="0.25">
      <c r="A6">
        <v>5</v>
      </c>
      <c r="B6">
        <v>1005</v>
      </c>
      <c r="C6">
        <v>308</v>
      </c>
      <c r="D6" s="3">
        <v>45712</v>
      </c>
      <c r="E6">
        <f>SUMIFS(Payment_Table[amount],Payment_Table[enroll_id],Enrollments_Table[[#This Row],[enroll_id]])</f>
        <v>12000</v>
      </c>
      <c r="F6">
        <f>VLOOKUP(INDEX(Batch_Table[#All],MATCH(Enrollments_Table[[#This Row],[batch_id]],Batch_Table[[#All],[batch_id]],0),2),Course_Table[#All],4,0)</f>
        <v>12000</v>
      </c>
      <c r="G6">
        <f>Enrollments_Table[[#This Row],[fees_generated]]-Enrollments_Table[[#This Row],[fees_paid]]</f>
        <v>0</v>
      </c>
    </row>
    <row r="7" spans="1:7" x14ac:dyDescent="0.25">
      <c r="A7">
        <v>6</v>
      </c>
      <c r="B7">
        <v>1005</v>
      </c>
      <c r="C7">
        <v>312</v>
      </c>
      <c r="D7" s="3">
        <v>45681</v>
      </c>
      <c r="E7">
        <f>SUMIFS(Payment_Table[amount],Payment_Table[enroll_id],Enrollments_Table[[#This Row],[enroll_id]])</f>
        <v>9000</v>
      </c>
      <c r="F7">
        <f>VLOOKUP(INDEX(Batch_Table[#All],MATCH(Enrollments_Table[[#This Row],[batch_id]],Batch_Table[[#All],[batch_id]],0),2),Course_Table[#All],4,0)</f>
        <v>9000</v>
      </c>
      <c r="G7">
        <f>Enrollments_Table[[#This Row],[fees_generated]]-Enrollments_Table[[#This Row],[fees_paid]]</f>
        <v>0</v>
      </c>
    </row>
    <row r="8" spans="1:7" x14ac:dyDescent="0.25">
      <c r="A8">
        <v>7</v>
      </c>
      <c r="B8">
        <v>1006</v>
      </c>
      <c r="C8">
        <v>302</v>
      </c>
      <c r="D8" s="3">
        <v>45667</v>
      </c>
      <c r="E8">
        <f>SUMIFS(Payment_Table[amount],Payment_Table[enroll_id],Enrollments_Table[[#This Row],[enroll_id]])</f>
        <v>6000</v>
      </c>
      <c r="F8">
        <f>VLOOKUP(INDEX(Batch_Table[#All],MATCH(Enrollments_Table[[#This Row],[batch_id]],Batch_Table[[#All],[batch_id]],0),2),Course_Table[#All],4,0)</f>
        <v>6000</v>
      </c>
      <c r="G8">
        <f>Enrollments_Table[[#This Row],[fees_generated]]-Enrollments_Table[[#This Row],[fees_paid]]</f>
        <v>0</v>
      </c>
    </row>
    <row r="9" spans="1:7" x14ac:dyDescent="0.25">
      <c r="A9">
        <v>8</v>
      </c>
      <c r="B9">
        <v>1007</v>
      </c>
      <c r="C9">
        <v>308</v>
      </c>
      <c r="D9" s="3">
        <v>45703</v>
      </c>
      <c r="E9">
        <f>SUMIFS(Payment_Table[amount],Payment_Table[enroll_id],Enrollments_Table[[#This Row],[enroll_id]])</f>
        <v>12000</v>
      </c>
      <c r="F9">
        <f>VLOOKUP(INDEX(Batch_Table[#All],MATCH(Enrollments_Table[[#This Row],[batch_id]],Batch_Table[[#All],[batch_id]],0),2),Course_Table[#All],4,0)</f>
        <v>12000</v>
      </c>
      <c r="G9">
        <f>Enrollments_Table[[#This Row],[fees_generated]]-Enrollments_Table[[#This Row],[fees_paid]]</f>
        <v>0</v>
      </c>
    </row>
    <row r="10" spans="1:7" x14ac:dyDescent="0.25">
      <c r="A10">
        <v>9</v>
      </c>
      <c r="B10">
        <v>1007</v>
      </c>
      <c r="C10">
        <v>302</v>
      </c>
      <c r="D10" s="3">
        <v>45692</v>
      </c>
      <c r="E10">
        <f>SUMIFS(Payment_Table[amount],Payment_Table[enroll_id],Enrollments_Table[[#This Row],[enroll_id]])</f>
        <v>6000</v>
      </c>
      <c r="F10">
        <f>VLOOKUP(INDEX(Batch_Table[#All],MATCH(Enrollments_Table[[#This Row],[batch_id]],Batch_Table[[#All],[batch_id]],0),2),Course_Table[#All],4,0)</f>
        <v>6000</v>
      </c>
      <c r="G10">
        <f>Enrollments_Table[[#This Row],[fees_generated]]-Enrollments_Table[[#This Row],[fees_paid]]</f>
        <v>0</v>
      </c>
    </row>
    <row r="11" spans="1:7" x14ac:dyDescent="0.25">
      <c r="A11">
        <v>10</v>
      </c>
      <c r="B11">
        <v>1008</v>
      </c>
      <c r="C11">
        <v>305</v>
      </c>
      <c r="D11" s="3">
        <v>45698</v>
      </c>
      <c r="E11">
        <f>SUMIFS(Payment_Table[amount],Payment_Table[enroll_id],Enrollments_Table[[#This Row],[enroll_id]])</f>
        <v>12000</v>
      </c>
      <c r="F11">
        <f>VLOOKUP(INDEX(Batch_Table[#All],MATCH(Enrollments_Table[[#This Row],[batch_id]],Batch_Table[[#All],[batch_id]],0),2),Course_Table[#All],4,0)</f>
        <v>12000</v>
      </c>
      <c r="G11">
        <f>Enrollments_Table[[#This Row],[fees_generated]]-Enrollments_Table[[#This Row],[fees_paid]]</f>
        <v>0</v>
      </c>
    </row>
    <row r="12" spans="1:7" x14ac:dyDescent="0.25">
      <c r="A12">
        <v>11</v>
      </c>
      <c r="B12">
        <v>1009</v>
      </c>
      <c r="C12">
        <v>308</v>
      </c>
      <c r="D12" s="3">
        <v>45708</v>
      </c>
      <c r="E12">
        <f>SUMIFS(Payment_Table[amount],Payment_Table[enroll_id],Enrollments_Table[[#This Row],[enroll_id]])</f>
        <v>12000</v>
      </c>
      <c r="F12">
        <f>VLOOKUP(INDEX(Batch_Table[#All],MATCH(Enrollments_Table[[#This Row],[batch_id]],Batch_Table[[#All],[batch_id]],0),2),Course_Table[#All],4,0)</f>
        <v>12000</v>
      </c>
      <c r="G12">
        <f>Enrollments_Table[[#This Row],[fees_generated]]-Enrollments_Table[[#This Row],[fees_paid]]</f>
        <v>0</v>
      </c>
    </row>
    <row r="13" spans="1:7" x14ac:dyDescent="0.25">
      <c r="A13">
        <v>12</v>
      </c>
      <c r="B13">
        <v>1010</v>
      </c>
      <c r="C13">
        <v>301</v>
      </c>
      <c r="D13" s="3">
        <v>45696</v>
      </c>
      <c r="E13">
        <f>SUMIFS(Payment_Table[amount],Payment_Table[enroll_id],Enrollments_Table[[#This Row],[enroll_id]])</f>
        <v>6000</v>
      </c>
      <c r="F13">
        <f>VLOOKUP(INDEX(Batch_Table[#All],MATCH(Enrollments_Table[[#This Row],[batch_id]],Batch_Table[[#All],[batch_id]],0),2),Course_Table[#All],4,0)</f>
        <v>6000</v>
      </c>
      <c r="G13">
        <f>Enrollments_Table[[#This Row],[fees_generated]]-Enrollments_Table[[#This Row],[fees_paid]]</f>
        <v>0</v>
      </c>
    </row>
    <row r="14" spans="1:7" x14ac:dyDescent="0.25">
      <c r="A14">
        <v>13</v>
      </c>
      <c r="B14">
        <v>1011</v>
      </c>
      <c r="C14">
        <v>308</v>
      </c>
      <c r="D14" s="3">
        <v>45666</v>
      </c>
      <c r="E14">
        <f>SUMIFS(Payment_Table[amount],Payment_Table[enroll_id],Enrollments_Table[[#This Row],[enroll_id]])</f>
        <v>12000</v>
      </c>
      <c r="F14">
        <f>VLOOKUP(INDEX(Batch_Table[#All],MATCH(Enrollments_Table[[#This Row],[batch_id]],Batch_Table[[#All],[batch_id]],0),2),Course_Table[#All],4,0)</f>
        <v>12000</v>
      </c>
      <c r="G14">
        <f>Enrollments_Table[[#This Row],[fees_generated]]-Enrollments_Table[[#This Row],[fees_paid]]</f>
        <v>0</v>
      </c>
    </row>
    <row r="15" spans="1:7" x14ac:dyDescent="0.25">
      <c r="A15">
        <v>14</v>
      </c>
      <c r="B15">
        <v>1012</v>
      </c>
      <c r="C15">
        <v>305</v>
      </c>
      <c r="D15" s="3">
        <v>45665</v>
      </c>
      <c r="E15">
        <f>SUMIFS(Payment_Table[amount],Payment_Table[enroll_id],Enrollments_Table[[#This Row],[enroll_id]])</f>
        <v>12000</v>
      </c>
      <c r="F15">
        <f>VLOOKUP(INDEX(Batch_Table[#All],MATCH(Enrollments_Table[[#This Row],[batch_id]],Batch_Table[[#All],[batch_id]],0),2),Course_Table[#All],4,0)</f>
        <v>12000</v>
      </c>
      <c r="G15">
        <f>Enrollments_Table[[#This Row],[fees_generated]]-Enrollments_Table[[#This Row],[fees_paid]]</f>
        <v>0</v>
      </c>
    </row>
    <row r="16" spans="1:7" x14ac:dyDescent="0.25">
      <c r="A16">
        <v>15</v>
      </c>
      <c r="B16">
        <v>1013</v>
      </c>
      <c r="C16">
        <v>304</v>
      </c>
      <c r="D16" s="3">
        <v>45704</v>
      </c>
      <c r="E16">
        <f>SUMIFS(Payment_Table[amount],Payment_Table[enroll_id],Enrollments_Table[[#This Row],[enroll_id]])</f>
        <v>7500</v>
      </c>
      <c r="F16">
        <f>VLOOKUP(INDEX(Batch_Table[#All],MATCH(Enrollments_Table[[#This Row],[batch_id]],Batch_Table[[#All],[batch_id]],0),2),Course_Table[#All],4,0)</f>
        <v>7500</v>
      </c>
      <c r="G16">
        <f>Enrollments_Table[[#This Row],[fees_generated]]-Enrollments_Table[[#This Row],[fees_paid]]</f>
        <v>0</v>
      </c>
    </row>
    <row r="17" spans="1:7" x14ac:dyDescent="0.25">
      <c r="A17">
        <v>16</v>
      </c>
      <c r="B17">
        <v>1014</v>
      </c>
      <c r="C17">
        <v>308</v>
      </c>
      <c r="D17" s="3">
        <v>45678</v>
      </c>
      <c r="E17">
        <f>SUMIFS(Payment_Table[amount],Payment_Table[enroll_id],Enrollments_Table[[#This Row],[enroll_id]])</f>
        <v>12000</v>
      </c>
      <c r="F17">
        <f>VLOOKUP(INDEX(Batch_Table[#All],MATCH(Enrollments_Table[[#This Row],[batch_id]],Batch_Table[[#All],[batch_id]],0),2),Course_Table[#All],4,0)</f>
        <v>12000</v>
      </c>
      <c r="G17">
        <f>Enrollments_Table[[#This Row],[fees_generated]]-Enrollments_Table[[#This Row],[fees_paid]]</f>
        <v>0</v>
      </c>
    </row>
    <row r="18" spans="1:7" x14ac:dyDescent="0.25">
      <c r="A18">
        <v>17</v>
      </c>
      <c r="B18">
        <v>1015</v>
      </c>
      <c r="C18">
        <v>309</v>
      </c>
      <c r="D18" s="3">
        <v>45674</v>
      </c>
      <c r="E18">
        <f>SUMIFS(Payment_Table[amount],Payment_Table[enroll_id],Enrollments_Table[[#This Row],[enroll_id]])</f>
        <v>9000</v>
      </c>
      <c r="F18">
        <f>VLOOKUP(INDEX(Batch_Table[#All],MATCH(Enrollments_Table[[#This Row],[batch_id]],Batch_Table[[#All],[batch_id]],0),2),Course_Table[#All],4,0)</f>
        <v>9000</v>
      </c>
      <c r="G18">
        <f>Enrollments_Table[[#This Row],[fees_generated]]-Enrollments_Table[[#This Row],[fees_paid]]</f>
        <v>0</v>
      </c>
    </row>
    <row r="19" spans="1:7" x14ac:dyDescent="0.25">
      <c r="A19">
        <v>18</v>
      </c>
      <c r="B19">
        <v>1016</v>
      </c>
      <c r="C19">
        <v>302</v>
      </c>
      <c r="D19" s="3">
        <v>45670</v>
      </c>
      <c r="E19">
        <f>SUMIFS(Payment_Table[amount],Payment_Table[enroll_id],Enrollments_Table[[#This Row],[enroll_id]])</f>
        <v>6000</v>
      </c>
      <c r="F19">
        <f>VLOOKUP(INDEX(Batch_Table[#All],MATCH(Enrollments_Table[[#This Row],[batch_id]],Batch_Table[[#All],[batch_id]],0),2),Course_Table[#All],4,0)</f>
        <v>6000</v>
      </c>
      <c r="G19">
        <f>Enrollments_Table[[#This Row],[fees_generated]]-Enrollments_Table[[#This Row],[fees_paid]]</f>
        <v>0</v>
      </c>
    </row>
    <row r="20" spans="1:7" x14ac:dyDescent="0.25">
      <c r="A20">
        <v>19</v>
      </c>
      <c r="B20">
        <v>1016</v>
      </c>
      <c r="C20">
        <v>312</v>
      </c>
      <c r="D20" s="3">
        <v>45705</v>
      </c>
      <c r="E20">
        <f>SUMIFS(Payment_Table[amount],Payment_Table[enroll_id],Enrollments_Table[[#This Row],[enroll_id]])</f>
        <v>9000</v>
      </c>
      <c r="F20">
        <f>VLOOKUP(INDEX(Batch_Table[#All],MATCH(Enrollments_Table[[#This Row],[batch_id]],Batch_Table[[#All],[batch_id]],0),2),Course_Table[#All],4,0)</f>
        <v>9000</v>
      </c>
      <c r="G20">
        <f>Enrollments_Table[[#This Row],[fees_generated]]-Enrollments_Table[[#This Row],[fees_paid]]</f>
        <v>0</v>
      </c>
    </row>
    <row r="21" spans="1:7" x14ac:dyDescent="0.25">
      <c r="A21">
        <v>20</v>
      </c>
      <c r="B21">
        <v>1017</v>
      </c>
      <c r="C21">
        <v>310</v>
      </c>
      <c r="D21" s="3">
        <v>45686</v>
      </c>
      <c r="E21">
        <f>SUMIFS(Payment_Table[amount],Payment_Table[enroll_id],Enrollments_Table[[#This Row],[enroll_id]])</f>
        <v>9000</v>
      </c>
      <c r="F21">
        <f>VLOOKUP(INDEX(Batch_Table[#All],MATCH(Enrollments_Table[[#This Row],[batch_id]],Batch_Table[[#All],[batch_id]],0),2),Course_Table[#All],4,0)</f>
        <v>9000</v>
      </c>
      <c r="G21">
        <f>Enrollments_Table[[#This Row],[fees_generated]]-Enrollments_Table[[#This Row],[fees_paid]]</f>
        <v>0</v>
      </c>
    </row>
    <row r="22" spans="1:7" x14ac:dyDescent="0.25">
      <c r="A22">
        <v>21</v>
      </c>
      <c r="B22">
        <v>1017</v>
      </c>
      <c r="C22">
        <v>302</v>
      </c>
      <c r="D22" s="3">
        <v>45683</v>
      </c>
      <c r="E22">
        <f>SUMIFS(Payment_Table[amount],Payment_Table[enroll_id],Enrollments_Table[[#This Row],[enroll_id]])</f>
        <v>6000</v>
      </c>
      <c r="F22">
        <f>VLOOKUP(INDEX(Batch_Table[#All],MATCH(Enrollments_Table[[#This Row],[batch_id]],Batch_Table[[#All],[batch_id]],0),2),Course_Table[#All],4,0)</f>
        <v>6000</v>
      </c>
      <c r="G22">
        <f>Enrollments_Table[[#This Row],[fees_generated]]-Enrollments_Table[[#This Row],[fees_paid]]</f>
        <v>0</v>
      </c>
    </row>
    <row r="23" spans="1:7" x14ac:dyDescent="0.25">
      <c r="A23">
        <v>22</v>
      </c>
      <c r="B23">
        <v>1018</v>
      </c>
      <c r="C23">
        <v>304</v>
      </c>
      <c r="D23" s="3">
        <v>45683</v>
      </c>
      <c r="E23">
        <f>SUMIFS(Payment_Table[amount],Payment_Table[enroll_id],Enrollments_Table[[#This Row],[enroll_id]])</f>
        <v>7500</v>
      </c>
      <c r="F23">
        <f>VLOOKUP(INDEX(Batch_Table[#All],MATCH(Enrollments_Table[[#This Row],[batch_id]],Batch_Table[[#All],[batch_id]],0),2),Course_Table[#All],4,0)</f>
        <v>7500</v>
      </c>
      <c r="G23">
        <f>Enrollments_Table[[#This Row],[fees_generated]]-Enrollments_Table[[#This Row],[fees_paid]]</f>
        <v>0</v>
      </c>
    </row>
    <row r="24" spans="1:7" x14ac:dyDescent="0.25">
      <c r="A24">
        <v>23</v>
      </c>
      <c r="B24">
        <v>1019</v>
      </c>
      <c r="C24">
        <v>309</v>
      </c>
      <c r="D24" s="3">
        <v>45708</v>
      </c>
      <c r="E24">
        <f>SUMIFS(Payment_Table[amount],Payment_Table[enroll_id],Enrollments_Table[[#This Row],[enroll_id]])</f>
        <v>9000</v>
      </c>
      <c r="F24">
        <f>VLOOKUP(INDEX(Batch_Table[#All],MATCH(Enrollments_Table[[#This Row],[batch_id]],Batch_Table[[#All],[batch_id]],0),2),Course_Table[#All],4,0)</f>
        <v>9000</v>
      </c>
      <c r="G24">
        <f>Enrollments_Table[[#This Row],[fees_generated]]-Enrollments_Table[[#This Row],[fees_paid]]</f>
        <v>0</v>
      </c>
    </row>
    <row r="25" spans="1:7" x14ac:dyDescent="0.25">
      <c r="A25">
        <v>24</v>
      </c>
      <c r="B25">
        <v>1020</v>
      </c>
      <c r="C25">
        <v>301</v>
      </c>
      <c r="D25" s="3">
        <v>45704</v>
      </c>
      <c r="E25">
        <f>SUMIFS(Payment_Table[amount],Payment_Table[enroll_id],Enrollments_Table[[#This Row],[enroll_id]])</f>
        <v>6000</v>
      </c>
      <c r="F25">
        <f>VLOOKUP(INDEX(Batch_Table[#All],MATCH(Enrollments_Table[[#This Row],[batch_id]],Batch_Table[[#All],[batch_id]],0),2),Course_Table[#All],4,0)</f>
        <v>6000</v>
      </c>
      <c r="G25">
        <f>Enrollments_Table[[#This Row],[fees_generated]]-Enrollments_Table[[#This Row],[fees_paid]]</f>
        <v>0</v>
      </c>
    </row>
    <row r="26" spans="1:7" x14ac:dyDescent="0.25">
      <c r="A26">
        <v>25</v>
      </c>
      <c r="B26">
        <v>1021</v>
      </c>
      <c r="C26">
        <v>304</v>
      </c>
      <c r="D26" s="3">
        <v>45709</v>
      </c>
      <c r="E26">
        <f>SUMIFS(Payment_Table[amount],Payment_Table[enroll_id],Enrollments_Table[[#This Row],[enroll_id]])</f>
        <v>7500</v>
      </c>
      <c r="F26">
        <f>VLOOKUP(INDEX(Batch_Table[#All],MATCH(Enrollments_Table[[#This Row],[batch_id]],Batch_Table[[#All],[batch_id]],0),2),Course_Table[#All],4,0)</f>
        <v>7500</v>
      </c>
      <c r="G26">
        <f>Enrollments_Table[[#This Row],[fees_generated]]-Enrollments_Table[[#This Row],[fees_paid]]</f>
        <v>0</v>
      </c>
    </row>
    <row r="27" spans="1:7" x14ac:dyDescent="0.25">
      <c r="A27">
        <v>26</v>
      </c>
      <c r="B27">
        <v>1021</v>
      </c>
      <c r="C27">
        <v>308</v>
      </c>
      <c r="D27" s="3">
        <v>45666</v>
      </c>
      <c r="E27">
        <f>SUMIFS(Payment_Table[amount],Payment_Table[enroll_id],Enrollments_Table[[#This Row],[enroll_id]])</f>
        <v>12000</v>
      </c>
      <c r="F27">
        <f>VLOOKUP(INDEX(Batch_Table[#All],MATCH(Enrollments_Table[[#This Row],[batch_id]],Batch_Table[[#All],[batch_id]],0),2),Course_Table[#All],4,0)</f>
        <v>12000</v>
      </c>
      <c r="G27">
        <f>Enrollments_Table[[#This Row],[fees_generated]]-Enrollments_Table[[#This Row],[fees_paid]]</f>
        <v>0</v>
      </c>
    </row>
    <row r="28" spans="1:7" x14ac:dyDescent="0.25">
      <c r="A28">
        <v>27</v>
      </c>
      <c r="B28">
        <v>1022</v>
      </c>
      <c r="C28">
        <v>307</v>
      </c>
      <c r="D28" s="3">
        <v>45675</v>
      </c>
      <c r="E28">
        <f>SUMIFS(Payment_Table[amount],Payment_Table[enroll_id],Enrollments_Table[[#This Row],[enroll_id]])</f>
        <v>12000</v>
      </c>
      <c r="F28">
        <f>VLOOKUP(INDEX(Batch_Table[#All],MATCH(Enrollments_Table[[#This Row],[batch_id]],Batch_Table[[#All],[batch_id]],0),2),Course_Table[#All],4,0)</f>
        <v>12000</v>
      </c>
      <c r="G28">
        <f>Enrollments_Table[[#This Row],[fees_generated]]-Enrollments_Table[[#This Row],[fees_paid]]</f>
        <v>0</v>
      </c>
    </row>
    <row r="29" spans="1:7" x14ac:dyDescent="0.25">
      <c r="A29">
        <v>28</v>
      </c>
      <c r="B29">
        <v>1023</v>
      </c>
      <c r="C29">
        <v>311</v>
      </c>
      <c r="D29" s="3">
        <v>45667</v>
      </c>
      <c r="E29">
        <f>SUMIFS(Payment_Table[amount],Payment_Table[enroll_id],Enrollments_Table[[#This Row],[enroll_id]])</f>
        <v>9000</v>
      </c>
      <c r="F29">
        <f>VLOOKUP(INDEX(Batch_Table[#All],MATCH(Enrollments_Table[[#This Row],[batch_id]],Batch_Table[[#All],[batch_id]],0),2),Course_Table[#All],4,0)</f>
        <v>9000</v>
      </c>
      <c r="G29">
        <f>Enrollments_Table[[#This Row],[fees_generated]]-Enrollments_Table[[#This Row],[fees_paid]]</f>
        <v>0</v>
      </c>
    </row>
    <row r="30" spans="1:7" x14ac:dyDescent="0.25">
      <c r="A30">
        <v>29</v>
      </c>
      <c r="B30">
        <v>1024</v>
      </c>
      <c r="C30">
        <v>305</v>
      </c>
      <c r="D30" s="3">
        <v>45667</v>
      </c>
      <c r="E30">
        <f>SUMIFS(Payment_Table[amount],Payment_Table[enroll_id],Enrollments_Table[[#This Row],[enroll_id]])</f>
        <v>12000</v>
      </c>
      <c r="F30">
        <f>VLOOKUP(INDEX(Batch_Table[#All],MATCH(Enrollments_Table[[#This Row],[batch_id]],Batch_Table[[#All],[batch_id]],0),2),Course_Table[#All],4,0)</f>
        <v>12000</v>
      </c>
      <c r="G30">
        <f>Enrollments_Table[[#This Row],[fees_generated]]-Enrollments_Table[[#This Row],[fees_paid]]</f>
        <v>0</v>
      </c>
    </row>
    <row r="31" spans="1:7" x14ac:dyDescent="0.25">
      <c r="A31">
        <v>30</v>
      </c>
      <c r="B31">
        <v>1025</v>
      </c>
      <c r="C31">
        <v>306</v>
      </c>
      <c r="D31" s="3">
        <v>45689</v>
      </c>
      <c r="E31">
        <f>SUMIFS(Payment_Table[amount],Payment_Table[enroll_id],Enrollments_Table[[#This Row],[enroll_id]])</f>
        <v>12000</v>
      </c>
      <c r="F31">
        <f>VLOOKUP(INDEX(Batch_Table[#All],MATCH(Enrollments_Table[[#This Row],[batch_id]],Batch_Table[[#All],[batch_id]],0),2),Course_Table[#All],4,0)</f>
        <v>12000</v>
      </c>
      <c r="G31">
        <f>Enrollments_Table[[#This Row],[fees_generated]]-Enrollments_Table[[#This Row],[fees_paid]]</f>
        <v>0</v>
      </c>
    </row>
    <row r="32" spans="1:7" x14ac:dyDescent="0.25">
      <c r="A32">
        <v>31</v>
      </c>
      <c r="B32">
        <v>1026</v>
      </c>
      <c r="C32">
        <v>304</v>
      </c>
      <c r="D32" s="3">
        <v>45685</v>
      </c>
      <c r="E32">
        <f>SUMIFS(Payment_Table[amount],Payment_Table[enroll_id],Enrollments_Table[[#This Row],[enroll_id]])</f>
        <v>7500</v>
      </c>
      <c r="F32">
        <f>VLOOKUP(INDEX(Batch_Table[#All],MATCH(Enrollments_Table[[#This Row],[batch_id]],Batch_Table[[#All],[batch_id]],0),2),Course_Table[#All],4,0)</f>
        <v>7500</v>
      </c>
      <c r="G32">
        <f>Enrollments_Table[[#This Row],[fees_generated]]-Enrollments_Table[[#This Row],[fees_paid]]</f>
        <v>0</v>
      </c>
    </row>
    <row r="33" spans="1:7" x14ac:dyDescent="0.25">
      <c r="A33">
        <v>32</v>
      </c>
      <c r="B33">
        <v>1026</v>
      </c>
      <c r="C33">
        <v>307</v>
      </c>
      <c r="D33" s="3">
        <v>45706</v>
      </c>
      <c r="E33">
        <f>SUMIFS(Payment_Table[amount],Payment_Table[enroll_id],Enrollments_Table[[#This Row],[enroll_id]])</f>
        <v>12000</v>
      </c>
      <c r="F33">
        <f>VLOOKUP(INDEX(Batch_Table[#All],MATCH(Enrollments_Table[[#This Row],[batch_id]],Batch_Table[[#All],[batch_id]],0),2),Course_Table[#All],4,0)</f>
        <v>12000</v>
      </c>
      <c r="G33">
        <f>Enrollments_Table[[#This Row],[fees_generated]]-Enrollments_Table[[#This Row],[fees_paid]]</f>
        <v>0</v>
      </c>
    </row>
    <row r="34" spans="1:7" x14ac:dyDescent="0.25">
      <c r="A34">
        <v>33</v>
      </c>
      <c r="B34">
        <v>1027</v>
      </c>
      <c r="C34">
        <v>301</v>
      </c>
      <c r="D34" s="3">
        <v>45718</v>
      </c>
      <c r="E34">
        <f>SUMIFS(Payment_Table[amount],Payment_Table[enroll_id],Enrollments_Table[[#This Row],[enroll_id]])</f>
        <v>6000</v>
      </c>
      <c r="F34">
        <f>VLOOKUP(INDEX(Batch_Table[#All],MATCH(Enrollments_Table[[#This Row],[batch_id]],Batch_Table[[#All],[batch_id]],0),2),Course_Table[#All],4,0)</f>
        <v>6000</v>
      </c>
      <c r="G34">
        <f>Enrollments_Table[[#This Row],[fees_generated]]-Enrollments_Table[[#This Row],[fees_paid]]</f>
        <v>0</v>
      </c>
    </row>
    <row r="35" spans="1:7" x14ac:dyDescent="0.25">
      <c r="A35">
        <v>34</v>
      </c>
      <c r="B35">
        <v>1028</v>
      </c>
      <c r="C35">
        <v>312</v>
      </c>
      <c r="D35" s="3">
        <v>45681</v>
      </c>
      <c r="E35">
        <f>SUMIFS(Payment_Table[amount],Payment_Table[enroll_id],Enrollments_Table[[#This Row],[enroll_id]])</f>
        <v>9000</v>
      </c>
      <c r="F35">
        <f>VLOOKUP(INDEX(Batch_Table[#All],MATCH(Enrollments_Table[[#This Row],[batch_id]],Batch_Table[[#All],[batch_id]],0),2),Course_Table[#All],4,0)</f>
        <v>9000</v>
      </c>
      <c r="G35">
        <f>Enrollments_Table[[#This Row],[fees_generated]]-Enrollments_Table[[#This Row],[fees_paid]]</f>
        <v>0</v>
      </c>
    </row>
    <row r="36" spans="1:7" x14ac:dyDescent="0.25">
      <c r="A36">
        <v>35</v>
      </c>
      <c r="B36">
        <v>1029</v>
      </c>
      <c r="C36">
        <v>301</v>
      </c>
      <c r="D36" s="3">
        <v>45668</v>
      </c>
      <c r="E36">
        <f>SUMIFS(Payment_Table[amount],Payment_Table[enroll_id],Enrollments_Table[[#This Row],[enroll_id]])</f>
        <v>6000</v>
      </c>
      <c r="F36">
        <f>VLOOKUP(INDEX(Batch_Table[#All],MATCH(Enrollments_Table[[#This Row],[batch_id]],Batch_Table[[#All],[batch_id]],0),2),Course_Table[#All],4,0)</f>
        <v>6000</v>
      </c>
      <c r="G36">
        <f>Enrollments_Table[[#This Row],[fees_generated]]-Enrollments_Table[[#This Row],[fees_paid]]</f>
        <v>0</v>
      </c>
    </row>
    <row r="37" spans="1:7" x14ac:dyDescent="0.25">
      <c r="A37">
        <v>36</v>
      </c>
      <c r="B37">
        <v>1030</v>
      </c>
      <c r="C37">
        <v>302</v>
      </c>
      <c r="D37" s="3">
        <v>45717</v>
      </c>
      <c r="E37">
        <f>SUMIFS(Payment_Table[amount],Payment_Table[enroll_id],Enrollments_Table[[#This Row],[enroll_id]])</f>
        <v>6000</v>
      </c>
      <c r="F37">
        <f>VLOOKUP(INDEX(Batch_Table[#All],MATCH(Enrollments_Table[[#This Row],[batch_id]],Batch_Table[[#All],[batch_id]],0),2),Course_Table[#All],4,0)</f>
        <v>6000</v>
      </c>
      <c r="G37">
        <f>Enrollments_Table[[#This Row],[fees_generated]]-Enrollments_Table[[#This Row],[fees_paid]]</f>
        <v>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1"/>
  <sheetViews>
    <sheetView topLeftCell="C1" zoomScaleNormal="100" workbookViewId="0">
      <selection activeCell="H3" sqref="H3"/>
    </sheetView>
  </sheetViews>
  <sheetFormatPr defaultRowHeight="15" x14ac:dyDescent="0.25"/>
  <cols>
    <col min="1" max="1" width="26" customWidth="1"/>
    <col min="2" max="2" width="64" customWidth="1"/>
    <col min="3" max="12" width="18" customWidth="1"/>
  </cols>
  <sheetData>
    <row r="1" spans="1:10" x14ac:dyDescent="0.25">
      <c r="A1" t="s">
        <v>227</v>
      </c>
      <c r="B1" t="s">
        <v>225</v>
      </c>
      <c r="C1" t="s">
        <v>228</v>
      </c>
      <c r="D1" t="s">
        <v>229</v>
      </c>
      <c r="E1" t="s">
        <v>79</v>
      </c>
      <c r="F1" t="s">
        <v>282</v>
      </c>
    </row>
    <row r="2" spans="1:10" x14ac:dyDescent="0.25">
      <c r="A2">
        <v>1</v>
      </c>
      <c r="B2">
        <v>1</v>
      </c>
      <c r="C2" s="3">
        <v>45710</v>
      </c>
      <c r="D2">
        <v>6000</v>
      </c>
      <c r="E2" t="s">
        <v>81</v>
      </c>
      <c r="F2" t="str">
        <f>IF(Payment_Table[[#This Row],[payment_date]]&lt;=(_xlfn.XLOOKUP(B2,Enrollments_Table[enroll_id],Enrollments_Table[enroll_date])+14),"On Time","Late")</f>
        <v>On Time</v>
      </c>
      <c r="H2" s="23" t="s">
        <v>252</v>
      </c>
    </row>
    <row r="3" spans="1:10" x14ac:dyDescent="0.25">
      <c r="A3">
        <v>2</v>
      </c>
      <c r="B3">
        <v>1</v>
      </c>
      <c r="C3" s="3">
        <v>45717</v>
      </c>
      <c r="D3">
        <v>6000</v>
      </c>
      <c r="E3" t="s">
        <v>83</v>
      </c>
      <c r="F3" t="str">
        <f>IF(Payment_Table[[#This Row],[payment_date]]&lt;=(_xlfn.XLOOKUP(B3,Enrollments_Table[enroll_id],Enrollments_Table[enroll_date])+14),"On Time","Late")</f>
        <v>On Time</v>
      </c>
      <c r="H3" s="36">
        <f>SUM(Payment_Table[amount])</f>
        <v>334500</v>
      </c>
    </row>
    <row r="4" spans="1:10" x14ac:dyDescent="0.25">
      <c r="A4">
        <v>3</v>
      </c>
      <c r="B4">
        <v>2</v>
      </c>
      <c r="C4" s="3">
        <v>45683</v>
      </c>
      <c r="D4">
        <v>7500</v>
      </c>
      <c r="E4" t="s">
        <v>83</v>
      </c>
      <c r="F4" t="str">
        <f>IF(Payment_Table[[#This Row],[payment_date]]&lt;=(_xlfn.XLOOKUP(B4,Enrollments_Table[enroll_id],Enrollments_Table[enroll_date])+14),"On Time","Late")</f>
        <v>On Time</v>
      </c>
      <c r="H4" s="19"/>
      <c r="J4" s="34"/>
    </row>
    <row r="5" spans="1:10" x14ac:dyDescent="0.25">
      <c r="A5">
        <v>4</v>
      </c>
      <c r="B5">
        <v>3</v>
      </c>
      <c r="C5" s="3">
        <v>45701</v>
      </c>
      <c r="D5">
        <v>6000</v>
      </c>
      <c r="E5" t="s">
        <v>82</v>
      </c>
      <c r="F5" t="str">
        <f>IF(Payment_Table[[#This Row],[payment_date]]&lt;=(_xlfn.XLOOKUP(B5,Enrollments_Table[enroll_id],Enrollments_Table[enroll_date])+14),"On Time","Late")</f>
        <v>On Time</v>
      </c>
      <c r="H5" s="23" t="s">
        <v>283</v>
      </c>
      <c r="J5" s="34"/>
    </row>
    <row r="6" spans="1:10" x14ac:dyDescent="0.25">
      <c r="A6">
        <v>5</v>
      </c>
      <c r="B6">
        <v>3</v>
      </c>
      <c r="C6" s="3">
        <v>45708</v>
      </c>
      <c r="D6">
        <v>6000</v>
      </c>
      <c r="E6" t="s">
        <v>84</v>
      </c>
      <c r="F6" t="str">
        <f>IF(Payment_Table[[#This Row],[payment_date]]&lt;=(_xlfn.XLOOKUP(B6,Enrollments_Table[enroll_id],Enrollments_Table[enroll_date])+14),"On Time","Late")</f>
        <v>On Time</v>
      </c>
      <c r="H6" s="35">
        <f>(100/COUNT(Payment_Table[payment_id]))*COUNTIF(Payment_Table[paid_ontime],"On Time")</f>
        <v>100</v>
      </c>
      <c r="J6" s="34"/>
    </row>
    <row r="7" spans="1:10" x14ac:dyDescent="0.25">
      <c r="A7">
        <v>6</v>
      </c>
      <c r="B7">
        <v>4</v>
      </c>
      <c r="C7" s="3">
        <v>45722</v>
      </c>
      <c r="D7">
        <v>6000</v>
      </c>
      <c r="E7" t="s">
        <v>83</v>
      </c>
      <c r="F7" t="str">
        <f>IF(Payment_Table[[#This Row],[payment_date]]&lt;=(_xlfn.XLOOKUP(B7,Enrollments_Table[enroll_id],Enrollments_Table[enroll_date])+14),"On Time","Late")</f>
        <v>On Time</v>
      </c>
      <c r="H7" s="19"/>
      <c r="J7" s="34"/>
    </row>
    <row r="8" spans="1:10" x14ac:dyDescent="0.25">
      <c r="A8">
        <v>7</v>
      </c>
      <c r="B8">
        <v>4</v>
      </c>
      <c r="C8" s="3">
        <v>45729</v>
      </c>
      <c r="D8">
        <v>6000</v>
      </c>
      <c r="E8" t="s">
        <v>84</v>
      </c>
      <c r="F8" t="str">
        <f>IF(Payment_Table[[#This Row],[payment_date]]&lt;=(_xlfn.XLOOKUP(B8,Enrollments_Table[enroll_id],Enrollments_Table[enroll_date])+14),"On Time","Late")</f>
        <v>On Time</v>
      </c>
      <c r="H8" s="23" t="s">
        <v>284</v>
      </c>
      <c r="J8" s="34"/>
    </row>
    <row r="9" spans="1:10" x14ac:dyDescent="0.25">
      <c r="A9">
        <v>8</v>
      </c>
      <c r="B9">
        <v>5</v>
      </c>
      <c r="C9" s="3">
        <v>45719</v>
      </c>
      <c r="D9">
        <v>6000</v>
      </c>
      <c r="E9" t="s">
        <v>82</v>
      </c>
      <c r="F9" t="str">
        <f>IF(Payment_Table[[#This Row],[payment_date]]&lt;=(_xlfn.XLOOKUP(B9,Enrollments_Table[enroll_id],Enrollments_Table[enroll_date])+14),"On Time","Late")</f>
        <v>On Time</v>
      </c>
      <c r="H9" s="36">
        <f>H3/COUNTA(Student_Table[student_id])</f>
        <v>11150</v>
      </c>
      <c r="J9" s="34"/>
    </row>
    <row r="10" spans="1:10" x14ac:dyDescent="0.25">
      <c r="A10">
        <v>9</v>
      </c>
      <c r="B10">
        <v>5</v>
      </c>
      <c r="C10" s="3">
        <v>45726</v>
      </c>
      <c r="D10">
        <v>6000</v>
      </c>
      <c r="E10" t="s">
        <v>81</v>
      </c>
      <c r="F10" t="str">
        <f>IF(Payment_Table[[#This Row],[payment_date]]&lt;=(_xlfn.XLOOKUP(B10,Enrollments_Table[enroll_id],Enrollments_Table[enroll_date])+14),"On Time","Late")</f>
        <v>On Time</v>
      </c>
    </row>
    <row r="11" spans="1:10" x14ac:dyDescent="0.25">
      <c r="A11">
        <v>10</v>
      </c>
      <c r="B11">
        <v>6</v>
      </c>
      <c r="C11" s="3">
        <v>45688</v>
      </c>
      <c r="D11">
        <v>4500</v>
      </c>
      <c r="E11" t="s">
        <v>84</v>
      </c>
      <c r="F11" t="str">
        <f>IF(Payment_Table[[#This Row],[payment_date]]&lt;=(_xlfn.XLOOKUP(B11,Enrollments_Table[enroll_id],Enrollments_Table[enroll_date])+14),"On Time","Late")</f>
        <v>On Time</v>
      </c>
    </row>
    <row r="12" spans="1:10" x14ac:dyDescent="0.25">
      <c r="A12">
        <v>11</v>
      </c>
      <c r="B12">
        <v>6</v>
      </c>
      <c r="C12" s="3">
        <v>45695</v>
      </c>
      <c r="D12">
        <v>4500</v>
      </c>
      <c r="E12" t="s">
        <v>82</v>
      </c>
      <c r="F12" t="str">
        <f>IF(Payment_Table[[#This Row],[payment_date]]&lt;=(_xlfn.XLOOKUP(B12,Enrollments_Table[enroll_id],Enrollments_Table[enroll_date])+14),"On Time","Late")</f>
        <v>On Time</v>
      </c>
    </row>
    <row r="13" spans="1:10" x14ac:dyDescent="0.25">
      <c r="A13">
        <v>12</v>
      </c>
      <c r="B13">
        <v>7</v>
      </c>
      <c r="C13" s="3">
        <v>45674</v>
      </c>
      <c r="D13">
        <v>6000</v>
      </c>
      <c r="E13" t="s">
        <v>84</v>
      </c>
      <c r="F13" t="str">
        <f>IF(Payment_Table[[#This Row],[payment_date]]&lt;=(_xlfn.XLOOKUP(B13,Enrollments_Table[enroll_id],Enrollments_Table[enroll_date])+14),"On Time","Late")</f>
        <v>On Time</v>
      </c>
    </row>
    <row r="14" spans="1:10" x14ac:dyDescent="0.25">
      <c r="A14">
        <v>13</v>
      </c>
      <c r="B14">
        <v>8</v>
      </c>
      <c r="C14" s="3">
        <v>45710</v>
      </c>
      <c r="D14">
        <v>6000</v>
      </c>
      <c r="E14" t="s">
        <v>83</v>
      </c>
      <c r="F14" t="str">
        <f>IF(Payment_Table[[#This Row],[payment_date]]&lt;=(_xlfn.XLOOKUP(B14,Enrollments_Table[enroll_id],Enrollments_Table[enroll_date])+14),"On Time","Late")</f>
        <v>On Time</v>
      </c>
    </row>
    <row r="15" spans="1:10" x14ac:dyDescent="0.25">
      <c r="A15">
        <v>14</v>
      </c>
      <c r="B15">
        <v>8</v>
      </c>
      <c r="C15" s="3">
        <v>45717</v>
      </c>
      <c r="D15">
        <v>6000</v>
      </c>
      <c r="E15" t="s">
        <v>84</v>
      </c>
      <c r="F15" t="str">
        <f>IF(Payment_Table[[#This Row],[payment_date]]&lt;=(_xlfn.XLOOKUP(B15,Enrollments_Table[enroll_id],Enrollments_Table[enroll_date])+14),"On Time","Late")</f>
        <v>On Time</v>
      </c>
    </row>
    <row r="16" spans="1:10" x14ac:dyDescent="0.25">
      <c r="A16">
        <v>15</v>
      </c>
      <c r="B16">
        <v>9</v>
      </c>
      <c r="C16" s="3">
        <v>45699</v>
      </c>
      <c r="D16">
        <v>3000</v>
      </c>
      <c r="E16" t="s">
        <v>81</v>
      </c>
      <c r="F16" t="str">
        <f>IF(Payment_Table[[#This Row],[payment_date]]&lt;=(_xlfn.XLOOKUP(B16,Enrollments_Table[enroll_id],Enrollments_Table[enroll_date])+14),"On Time","Late")</f>
        <v>On Time</v>
      </c>
    </row>
    <row r="17" spans="1:6" x14ac:dyDescent="0.25">
      <c r="A17">
        <v>16</v>
      </c>
      <c r="B17">
        <v>9</v>
      </c>
      <c r="C17" s="3">
        <v>45706</v>
      </c>
      <c r="D17">
        <v>3000</v>
      </c>
      <c r="E17" t="s">
        <v>83</v>
      </c>
      <c r="F17" t="str">
        <f>IF(Payment_Table[[#This Row],[payment_date]]&lt;=(_xlfn.XLOOKUP(B17,Enrollments_Table[enroll_id],Enrollments_Table[enroll_date])+14),"On Time","Late")</f>
        <v>On Time</v>
      </c>
    </row>
    <row r="18" spans="1:6" x14ac:dyDescent="0.25">
      <c r="A18">
        <v>17</v>
      </c>
      <c r="B18">
        <v>10</v>
      </c>
      <c r="C18" s="3">
        <v>45705</v>
      </c>
      <c r="D18">
        <v>6000</v>
      </c>
      <c r="E18" t="s">
        <v>81</v>
      </c>
      <c r="F18" t="str">
        <f>IF(Payment_Table[[#This Row],[payment_date]]&lt;=(_xlfn.XLOOKUP(B18,Enrollments_Table[enroll_id],Enrollments_Table[enroll_date])+14),"On Time","Late")</f>
        <v>On Time</v>
      </c>
    </row>
    <row r="19" spans="1:6" x14ac:dyDescent="0.25">
      <c r="A19">
        <v>18</v>
      </c>
      <c r="B19">
        <v>10</v>
      </c>
      <c r="C19" s="3">
        <v>45712</v>
      </c>
      <c r="D19">
        <v>6000</v>
      </c>
      <c r="E19" t="s">
        <v>81</v>
      </c>
      <c r="F19" t="str">
        <f>IF(Payment_Table[[#This Row],[payment_date]]&lt;=(_xlfn.XLOOKUP(B19,Enrollments_Table[enroll_id],Enrollments_Table[enroll_date])+14),"On Time","Late")</f>
        <v>On Time</v>
      </c>
    </row>
    <row r="20" spans="1:6" x14ac:dyDescent="0.25">
      <c r="A20">
        <v>19</v>
      </c>
      <c r="B20">
        <v>11</v>
      </c>
      <c r="C20" s="3">
        <v>45715</v>
      </c>
      <c r="D20">
        <v>12000</v>
      </c>
      <c r="E20" t="s">
        <v>81</v>
      </c>
      <c r="F20" t="str">
        <f>IF(Payment_Table[[#This Row],[payment_date]]&lt;=(_xlfn.XLOOKUP(B20,Enrollments_Table[enroll_id],Enrollments_Table[enroll_date])+14),"On Time","Late")</f>
        <v>On Time</v>
      </c>
    </row>
    <row r="21" spans="1:6" x14ac:dyDescent="0.25">
      <c r="A21">
        <v>20</v>
      </c>
      <c r="B21">
        <v>12</v>
      </c>
      <c r="C21" s="3">
        <v>45703</v>
      </c>
      <c r="D21">
        <v>6000</v>
      </c>
      <c r="E21" t="s">
        <v>84</v>
      </c>
      <c r="F21" t="str">
        <f>IF(Payment_Table[[#This Row],[payment_date]]&lt;=(_xlfn.XLOOKUP(B21,Enrollments_Table[enroll_id],Enrollments_Table[enroll_date])+14),"On Time","Late")</f>
        <v>On Time</v>
      </c>
    </row>
    <row r="22" spans="1:6" x14ac:dyDescent="0.25">
      <c r="A22">
        <v>21</v>
      </c>
      <c r="B22">
        <v>13</v>
      </c>
      <c r="C22" s="3">
        <v>45673</v>
      </c>
      <c r="D22">
        <v>12000</v>
      </c>
      <c r="E22" t="s">
        <v>82</v>
      </c>
      <c r="F22" t="str">
        <f>IF(Payment_Table[[#This Row],[payment_date]]&lt;=(_xlfn.XLOOKUP(B22,Enrollments_Table[enroll_id],Enrollments_Table[enroll_date])+14),"On Time","Late")</f>
        <v>On Time</v>
      </c>
    </row>
    <row r="23" spans="1:6" x14ac:dyDescent="0.25">
      <c r="A23">
        <v>22</v>
      </c>
      <c r="B23">
        <v>14</v>
      </c>
      <c r="C23" s="3">
        <v>45672</v>
      </c>
      <c r="D23">
        <v>12000</v>
      </c>
      <c r="E23" t="s">
        <v>83</v>
      </c>
      <c r="F23" t="str">
        <f>IF(Payment_Table[[#This Row],[payment_date]]&lt;=(_xlfn.XLOOKUP(B23,Enrollments_Table[enroll_id],Enrollments_Table[enroll_date])+14),"On Time","Late")</f>
        <v>On Time</v>
      </c>
    </row>
    <row r="24" spans="1:6" x14ac:dyDescent="0.25">
      <c r="A24">
        <v>23</v>
      </c>
      <c r="B24">
        <v>15</v>
      </c>
      <c r="C24" s="3">
        <v>45711</v>
      </c>
      <c r="D24">
        <v>3750</v>
      </c>
      <c r="E24" t="s">
        <v>81</v>
      </c>
      <c r="F24" t="str">
        <f>IF(Payment_Table[[#This Row],[payment_date]]&lt;=(_xlfn.XLOOKUP(B24,Enrollments_Table[enroll_id],Enrollments_Table[enroll_date])+14),"On Time","Late")</f>
        <v>On Time</v>
      </c>
    </row>
    <row r="25" spans="1:6" x14ac:dyDescent="0.25">
      <c r="A25">
        <v>24</v>
      </c>
      <c r="B25">
        <v>15</v>
      </c>
      <c r="C25" s="3">
        <v>45718</v>
      </c>
      <c r="D25">
        <v>3750</v>
      </c>
      <c r="E25" t="s">
        <v>81</v>
      </c>
      <c r="F25" t="str">
        <f>IF(Payment_Table[[#This Row],[payment_date]]&lt;=(_xlfn.XLOOKUP(B25,Enrollments_Table[enroll_id],Enrollments_Table[enroll_date])+14),"On Time","Late")</f>
        <v>On Time</v>
      </c>
    </row>
    <row r="26" spans="1:6" x14ac:dyDescent="0.25">
      <c r="A26">
        <v>25</v>
      </c>
      <c r="B26">
        <v>16</v>
      </c>
      <c r="C26" s="3">
        <v>45685</v>
      </c>
      <c r="D26">
        <v>12000</v>
      </c>
      <c r="E26" t="s">
        <v>83</v>
      </c>
      <c r="F26" t="str">
        <f>IF(Payment_Table[[#This Row],[payment_date]]&lt;=(_xlfn.XLOOKUP(B26,Enrollments_Table[enroll_id],Enrollments_Table[enroll_date])+14),"On Time","Late")</f>
        <v>On Time</v>
      </c>
    </row>
    <row r="27" spans="1:6" x14ac:dyDescent="0.25">
      <c r="A27">
        <v>26</v>
      </c>
      <c r="B27">
        <v>17</v>
      </c>
      <c r="C27" s="3">
        <v>45681</v>
      </c>
      <c r="D27">
        <v>4500</v>
      </c>
      <c r="E27" t="s">
        <v>83</v>
      </c>
      <c r="F27" t="str">
        <f>IF(Payment_Table[[#This Row],[payment_date]]&lt;=(_xlfn.XLOOKUP(B27,Enrollments_Table[enroll_id],Enrollments_Table[enroll_date])+14),"On Time","Late")</f>
        <v>On Time</v>
      </c>
    </row>
    <row r="28" spans="1:6" x14ac:dyDescent="0.25">
      <c r="A28">
        <v>27</v>
      </c>
      <c r="B28">
        <v>17</v>
      </c>
      <c r="C28" s="3">
        <v>45688</v>
      </c>
      <c r="D28">
        <v>4500</v>
      </c>
      <c r="E28" t="s">
        <v>81</v>
      </c>
      <c r="F28" t="str">
        <f>IF(Payment_Table[[#This Row],[payment_date]]&lt;=(_xlfn.XLOOKUP(B28,Enrollments_Table[enroll_id],Enrollments_Table[enroll_date])+14),"On Time","Late")</f>
        <v>On Time</v>
      </c>
    </row>
    <row r="29" spans="1:6" x14ac:dyDescent="0.25">
      <c r="A29">
        <v>28</v>
      </c>
      <c r="B29">
        <v>18</v>
      </c>
      <c r="C29" s="3">
        <v>45677</v>
      </c>
      <c r="D29">
        <v>6000</v>
      </c>
      <c r="E29" t="s">
        <v>83</v>
      </c>
      <c r="F29" t="str">
        <f>IF(Payment_Table[[#This Row],[payment_date]]&lt;=(_xlfn.XLOOKUP(B29,Enrollments_Table[enroll_id],Enrollments_Table[enroll_date])+14),"On Time","Late")</f>
        <v>On Time</v>
      </c>
    </row>
    <row r="30" spans="1:6" x14ac:dyDescent="0.25">
      <c r="A30">
        <v>29</v>
      </c>
      <c r="B30">
        <v>19</v>
      </c>
      <c r="C30" s="3">
        <v>45712</v>
      </c>
      <c r="D30">
        <v>9000</v>
      </c>
      <c r="E30" t="s">
        <v>82</v>
      </c>
      <c r="F30" t="str">
        <f>IF(Payment_Table[[#This Row],[payment_date]]&lt;=(_xlfn.XLOOKUP(B30,Enrollments_Table[enroll_id],Enrollments_Table[enroll_date])+14),"On Time","Late")</f>
        <v>On Time</v>
      </c>
    </row>
    <row r="31" spans="1:6" x14ac:dyDescent="0.25">
      <c r="A31">
        <v>30</v>
      </c>
      <c r="B31">
        <v>20</v>
      </c>
      <c r="C31" s="3">
        <v>45693</v>
      </c>
      <c r="D31">
        <v>9000</v>
      </c>
      <c r="E31" t="s">
        <v>81</v>
      </c>
      <c r="F31" t="str">
        <f>IF(Payment_Table[[#This Row],[payment_date]]&lt;=(_xlfn.XLOOKUP(B31,Enrollments_Table[enroll_id],Enrollments_Table[enroll_date])+14),"On Time","Late")</f>
        <v>On Time</v>
      </c>
    </row>
    <row r="32" spans="1:6" x14ac:dyDescent="0.25">
      <c r="A32">
        <v>31</v>
      </c>
      <c r="B32">
        <v>21</v>
      </c>
      <c r="C32" s="3">
        <v>45690</v>
      </c>
      <c r="D32">
        <v>6000</v>
      </c>
      <c r="E32" t="s">
        <v>82</v>
      </c>
      <c r="F32" t="str">
        <f>IF(Payment_Table[[#This Row],[payment_date]]&lt;=(_xlfn.XLOOKUP(B32,Enrollments_Table[enroll_id],Enrollments_Table[enroll_date])+14),"On Time","Late")</f>
        <v>On Time</v>
      </c>
    </row>
    <row r="33" spans="1:6" x14ac:dyDescent="0.25">
      <c r="A33">
        <v>32</v>
      </c>
      <c r="B33">
        <v>22</v>
      </c>
      <c r="C33" s="3">
        <v>45690</v>
      </c>
      <c r="D33">
        <v>3750</v>
      </c>
      <c r="E33" t="s">
        <v>82</v>
      </c>
      <c r="F33" t="str">
        <f>IF(Payment_Table[[#This Row],[payment_date]]&lt;=(_xlfn.XLOOKUP(B33,Enrollments_Table[enroll_id],Enrollments_Table[enroll_date])+14),"On Time","Late")</f>
        <v>On Time</v>
      </c>
    </row>
    <row r="34" spans="1:6" x14ac:dyDescent="0.25">
      <c r="A34">
        <v>33</v>
      </c>
      <c r="B34">
        <v>22</v>
      </c>
      <c r="C34" s="3">
        <v>45697</v>
      </c>
      <c r="D34">
        <v>3750</v>
      </c>
      <c r="E34" t="s">
        <v>83</v>
      </c>
      <c r="F34" t="str">
        <f>IF(Payment_Table[[#This Row],[payment_date]]&lt;=(_xlfn.XLOOKUP(B34,Enrollments_Table[enroll_id],Enrollments_Table[enroll_date])+14),"On Time","Late")</f>
        <v>On Time</v>
      </c>
    </row>
    <row r="35" spans="1:6" x14ac:dyDescent="0.25">
      <c r="A35">
        <v>34</v>
      </c>
      <c r="B35">
        <v>23</v>
      </c>
      <c r="C35" s="3">
        <v>45715</v>
      </c>
      <c r="D35">
        <v>9000</v>
      </c>
      <c r="E35" t="s">
        <v>82</v>
      </c>
      <c r="F35" t="str">
        <f>IF(Payment_Table[[#This Row],[payment_date]]&lt;=(_xlfn.XLOOKUP(B35,Enrollments_Table[enroll_id],Enrollments_Table[enroll_date])+14),"On Time","Late")</f>
        <v>On Time</v>
      </c>
    </row>
    <row r="36" spans="1:6" x14ac:dyDescent="0.25">
      <c r="A36">
        <v>35</v>
      </c>
      <c r="B36">
        <v>24</v>
      </c>
      <c r="C36" s="3">
        <v>45711</v>
      </c>
      <c r="D36">
        <v>6000</v>
      </c>
      <c r="E36" t="s">
        <v>83</v>
      </c>
      <c r="F36" t="str">
        <f>IF(Payment_Table[[#This Row],[payment_date]]&lt;=(_xlfn.XLOOKUP(B36,Enrollments_Table[enroll_id],Enrollments_Table[enroll_date])+14),"On Time","Late")</f>
        <v>On Time</v>
      </c>
    </row>
    <row r="37" spans="1:6" x14ac:dyDescent="0.25">
      <c r="A37">
        <v>36</v>
      </c>
      <c r="B37">
        <v>25</v>
      </c>
      <c r="C37" s="3">
        <v>45716</v>
      </c>
      <c r="D37">
        <v>7500</v>
      </c>
      <c r="E37" t="s">
        <v>82</v>
      </c>
      <c r="F37" t="str">
        <f>IF(Payment_Table[[#This Row],[payment_date]]&lt;=(_xlfn.XLOOKUP(B37,Enrollments_Table[enroll_id],Enrollments_Table[enroll_date])+14),"On Time","Late")</f>
        <v>On Time</v>
      </c>
    </row>
    <row r="38" spans="1:6" x14ac:dyDescent="0.25">
      <c r="A38">
        <v>37</v>
      </c>
      <c r="B38">
        <v>26</v>
      </c>
      <c r="C38" s="3">
        <v>45673</v>
      </c>
      <c r="D38">
        <v>12000</v>
      </c>
      <c r="E38" t="s">
        <v>83</v>
      </c>
      <c r="F38" t="str">
        <f>IF(Payment_Table[[#This Row],[payment_date]]&lt;=(_xlfn.XLOOKUP(B38,Enrollments_Table[enroll_id],Enrollments_Table[enroll_date])+14),"On Time","Late")</f>
        <v>On Time</v>
      </c>
    </row>
    <row r="39" spans="1:6" x14ac:dyDescent="0.25">
      <c r="A39">
        <v>38</v>
      </c>
      <c r="B39">
        <v>27</v>
      </c>
      <c r="C39" s="3">
        <v>45682</v>
      </c>
      <c r="D39">
        <v>12000</v>
      </c>
      <c r="E39" t="s">
        <v>81</v>
      </c>
      <c r="F39" t="str">
        <f>IF(Payment_Table[[#This Row],[payment_date]]&lt;=(_xlfn.XLOOKUP(B39,Enrollments_Table[enroll_id],Enrollments_Table[enroll_date])+14),"On Time","Late")</f>
        <v>On Time</v>
      </c>
    </row>
    <row r="40" spans="1:6" x14ac:dyDescent="0.25">
      <c r="A40">
        <v>39</v>
      </c>
      <c r="B40">
        <v>28</v>
      </c>
      <c r="C40" s="3">
        <v>45674</v>
      </c>
      <c r="D40">
        <v>9000</v>
      </c>
      <c r="E40" t="s">
        <v>84</v>
      </c>
      <c r="F40" t="str">
        <f>IF(Payment_Table[[#This Row],[payment_date]]&lt;=(_xlfn.XLOOKUP(B40,Enrollments_Table[enroll_id],Enrollments_Table[enroll_date])+14),"On Time","Late")</f>
        <v>On Time</v>
      </c>
    </row>
    <row r="41" spans="1:6" x14ac:dyDescent="0.25">
      <c r="A41">
        <v>40</v>
      </c>
      <c r="B41">
        <v>29</v>
      </c>
      <c r="C41" s="3">
        <v>45674</v>
      </c>
      <c r="D41">
        <v>6000</v>
      </c>
      <c r="E41" t="s">
        <v>84</v>
      </c>
      <c r="F41" t="str">
        <f>IF(Payment_Table[[#This Row],[payment_date]]&lt;=(_xlfn.XLOOKUP(B41,Enrollments_Table[enroll_id],Enrollments_Table[enroll_date])+14),"On Time","Late")</f>
        <v>On Time</v>
      </c>
    </row>
    <row r="42" spans="1:6" x14ac:dyDescent="0.25">
      <c r="A42">
        <v>41</v>
      </c>
      <c r="B42">
        <v>29</v>
      </c>
      <c r="C42" s="3">
        <v>45681</v>
      </c>
      <c r="D42">
        <v>6000</v>
      </c>
      <c r="E42" t="s">
        <v>81</v>
      </c>
      <c r="F42" t="str">
        <f>IF(Payment_Table[[#This Row],[payment_date]]&lt;=(_xlfn.XLOOKUP(B42,Enrollments_Table[enroll_id],Enrollments_Table[enroll_date])+14),"On Time","Late")</f>
        <v>On Time</v>
      </c>
    </row>
    <row r="43" spans="1:6" x14ac:dyDescent="0.25">
      <c r="A43">
        <v>42</v>
      </c>
      <c r="B43">
        <v>30</v>
      </c>
      <c r="C43" s="3">
        <v>45696</v>
      </c>
      <c r="D43">
        <v>12000</v>
      </c>
      <c r="E43" t="s">
        <v>82</v>
      </c>
      <c r="F43" t="str">
        <f>IF(Payment_Table[[#This Row],[payment_date]]&lt;=(_xlfn.XLOOKUP(B43,Enrollments_Table[enroll_id],Enrollments_Table[enroll_date])+14),"On Time","Late")</f>
        <v>On Time</v>
      </c>
    </row>
    <row r="44" spans="1:6" x14ac:dyDescent="0.25">
      <c r="A44">
        <v>43</v>
      </c>
      <c r="B44">
        <v>31</v>
      </c>
      <c r="C44" s="3">
        <v>45692</v>
      </c>
      <c r="D44">
        <v>7500</v>
      </c>
      <c r="E44" t="s">
        <v>81</v>
      </c>
      <c r="F44" t="str">
        <f>IF(Payment_Table[[#This Row],[payment_date]]&lt;=(_xlfn.XLOOKUP(B44,Enrollments_Table[enroll_id],Enrollments_Table[enroll_date])+14),"On Time","Late")</f>
        <v>On Time</v>
      </c>
    </row>
    <row r="45" spans="1:6" x14ac:dyDescent="0.25">
      <c r="A45">
        <v>44</v>
      </c>
      <c r="B45">
        <v>32</v>
      </c>
      <c r="C45" s="3">
        <v>45713</v>
      </c>
      <c r="D45">
        <v>12000</v>
      </c>
      <c r="E45" t="s">
        <v>82</v>
      </c>
      <c r="F45" t="str">
        <f>IF(Payment_Table[[#This Row],[payment_date]]&lt;=(_xlfn.XLOOKUP(B45,Enrollments_Table[enroll_id],Enrollments_Table[enroll_date])+14),"On Time","Late")</f>
        <v>On Time</v>
      </c>
    </row>
    <row r="46" spans="1:6" x14ac:dyDescent="0.25">
      <c r="A46">
        <v>45</v>
      </c>
      <c r="B46">
        <v>33</v>
      </c>
      <c r="C46" s="3">
        <v>45725</v>
      </c>
      <c r="D46">
        <v>6000</v>
      </c>
      <c r="E46" t="s">
        <v>82</v>
      </c>
      <c r="F46" t="str">
        <f>IF(Payment_Table[[#This Row],[payment_date]]&lt;=(_xlfn.XLOOKUP(B46,Enrollments_Table[enroll_id],Enrollments_Table[enroll_date])+14),"On Time","Late")</f>
        <v>On Time</v>
      </c>
    </row>
    <row r="47" spans="1:6" x14ac:dyDescent="0.25">
      <c r="A47">
        <v>46</v>
      </c>
      <c r="B47">
        <v>34</v>
      </c>
      <c r="C47" s="3">
        <v>45688</v>
      </c>
      <c r="D47">
        <v>4500</v>
      </c>
      <c r="E47" t="s">
        <v>84</v>
      </c>
      <c r="F47" t="str">
        <f>IF(Payment_Table[[#This Row],[payment_date]]&lt;=(_xlfn.XLOOKUP(B47,Enrollments_Table[enroll_id],Enrollments_Table[enroll_date])+14),"On Time","Late")</f>
        <v>On Time</v>
      </c>
    </row>
    <row r="48" spans="1:6" x14ac:dyDescent="0.25">
      <c r="A48">
        <v>47</v>
      </c>
      <c r="B48">
        <v>34</v>
      </c>
      <c r="C48" s="3">
        <v>45695</v>
      </c>
      <c r="D48">
        <v>4500</v>
      </c>
      <c r="E48" t="s">
        <v>82</v>
      </c>
      <c r="F48" t="str">
        <f>IF(Payment_Table[[#This Row],[payment_date]]&lt;=(_xlfn.XLOOKUP(B48,Enrollments_Table[enroll_id],Enrollments_Table[enroll_date])+14),"On Time","Late")</f>
        <v>On Time</v>
      </c>
    </row>
    <row r="49" spans="1:6" x14ac:dyDescent="0.25">
      <c r="A49">
        <v>48</v>
      </c>
      <c r="B49">
        <v>35</v>
      </c>
      <c r="C49" s="3">
        <v>45675</v>
      </c>
      <c r="D49">
        <v>3000</v>
      </c>
      <c r="E49" t="s">
        <v>84</v>
      </c>
      <c r="F49" t="str">
        <f>IF(Payment_Table[[#This Row],[payment_date]]&lt;=(_xlfn.XLOOKUP(B49,Enrollments_Table[enroll_id],Enrollments_Table[enroll_date])+14),"On Time","Late")</f>
        <v>On Time</v>
      </c>
    </row>
    <row r="50" spans="1:6" x14ac:dyDescent="0.25">
      <c r="A50">
        <v>49</v>
      </c>
      <c r="B50">
        <v>35</v>
      </c>
      <c r="C50" s="3">
        <v>45682</v>
      </c>
      <c r="D50">
        <v>3000</v>
      </c>
      <c r="E50" t="s">
        <v>82</v>
      </c>
      <c r="F50" t="str">
        <f>IF(Payment_Table[[#This Row],[payment_date]]&lt;=(_xlfn.XLOOKUP(B50,Enrollments_Table[enroll_id],Enrollments_Table[enroll_date])+14),"On Time","Late")</f>
        <v>On Time</v>
      </c>
    </row>
    <row r="51" spans="1:6" x14ac:dyDescent="0.25">
      <c r="A51">
        <v>50</v>
      </c>
      <c r="B51">
        <v>36</v>
      </c>
      <c r="C51" s="3">
        <v>45724</v>
      </c>
      <c r="D51">
        <v>6000</v>
      </c>
      <c r="E51" t="s">
        <v>81</v>
      </c>
      <c r="F51" t="str">
        <f>IF(Payment_Table[[#This Row],[payment_date]]&lt;=(_xlfn.XLOOKUP(B51,Enrollments_Table[enroll_id],Enrollments_Table[enroll_date])+14),"On Time","Late")</f>
        <v>On Time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5"/>
  <sheetViews>
    <sheetView zoomScale="85" zoomScaleNormal="85" workbookViewId="0">
      <selection activeCell="F3" sqref="F3"/>
    </sheetView>
  </sheetViews>
  <sheetFormatPr defaultRowHeight="15" x14ac:dyDescent="0.25"/>
  <cols>
    <col min="1" max="1" width="26" customWidth="1"/>
    <col min="2" max="2" width="64" customWidth="1"/>
    <col min="3" max="12" width="18" customWidth="1"/>
  </cols>
  <sheetData>
    <row r="1" spans="1:4" x14ac:dyDescent="0.25">
      <c r="A1" t="s">
        <v>230</v>
      </c>
      <c r="B1" t="s">
        <v>218</v>
      </c>
      <c r="C1" t="s">
        <v>231</v>
      </c>
      <c r="D1" t="s">
        <v>232</v>
      </c>
    </row>
    <row r="2" spans="1:4" x14ac:dyDescent="0.25">
      <c r="A2">
        <v>1</v>
      </c>
      <c r="B2">
        <v>301</v>
      </c>
      <c r="C2" s="3">
        <v>45692</v>
      </c>
      <c r="D2" t="s">
        <v>233</v>
      </c>
    </row>
    <row r="3" spans="1:4" x14ac:dyDescent="0.25">
      <c r="A3">
        <v>2</v>
      </c>
      <c r="B3">
        <v>301</v>
      </c>
      <c r="C3" s="3">
        <v>45693</v>
      </c>
      <c r="D3" t="s">
        <v>234</v>
      </c>
    </row>
    <row r="4" spans="1:4" x14ac:dyDescent="0.25">
      <c r="A4">
        <v>3</v>
      </c>
      <c r="B4">
        <v>301</v>
      </c>
      <c r="C4" s="3">
        <v>45695</v>
      </c>
      <c r="D4" t="s">
        <v>235</v>
      </c>
    </row>
    <row r="5" spans="1:4" x14ac:dyDescent="0.25">
      <c r="A5">
        <v>4</v>
      </c>
      <c r="B5">
        <v>301</v>
      </c>
      <c r="C5" s="3">
        <v>45696</v>
      </c>
      <c r="D5" t="s">
        <v>236</v>
      </c>
    </row>
    <row r="6" spans="1:4" x14ac:dyDescent="0.25">
      <c r="A6">
        <v>5</v>
      </c>
      <c r="B6">
        <v>301</v>
      </c>
      <c r="C6" s="3">
        <v>45698</v>
      </c>
      <c r="D6" t="s">
        <v>237</v>
      </c>
    </row>
    <row r="7" spans="1:4" x14ac:dyDescent="0.25">
      <c r="A7">
        <v>6</v>
      </c>
      <c r="B7">
        <v>301</v>
      </c>
      <c r="C7" s="3">
        <v>45699</v>
      </c>
      <c r="D7" t="s">
        <v>238</v>
      </c>
    </row>
    <row r="8" spans="1:4" x14ac:dyDescent="0.25">
      <c r="A8">
        <v>7</v>
      </c>
      <c r="B8">
        <v>301</v>
      </c>
      <c r="C8" s="3">
        <v>45701</v>
      </c>
      <c r="D8" t="s">
        <v>239</v>
      </c>
    </row>
    <row r="9" spans="1:4" x14ac:dyDescent="0.25">
      <c r="A9">
        <v>8</v>
      </c>
      <c r="B9">
        <v>301</v>
      </c>
      <c r="C9" s="3">
        <v>45702</v>
      </c>
      <c r="D9" t="s">
        <v>240</v>
      </c>
    </row>
    <row r="10" spans="1:4" x14ac:dyDescent="0.25">
      <c r="A10">
        <v>9</v>
      </c>
      <c r="B10">
        <v>301</v>
      </c>
      <c r="C10" s="3">
        <v>45704</v>
      </c>
      <c r="D10" t="s">
        <v>241</v>
      </c>
    </row>
    <row r="11" spans="1:4" x14ac:dyDescent="0.25">
      <c r="A11">
        <v>10</v>
      </c>
      <c r="B11">
        <v>301</v>
      </c>
      <c r="C11" s="3">
        <v>45705</v>
      </c>
      <c r="D11" t="s">
        <v>242</v>
      </c>
    </row>
    <row r="12" spans="1:4" x14ac:dyDescent="0.25">
      <c r="A12">
        <v>11</v>
      </c>
      <c r="B12">
        <v>301</v>
      </c>
      <c r="C12" s="3">
        <v>45707</v>
      </c>
      <c r="D12" t="s">
        <v>243</v>
      </c>
    </row>
    <row r="13" spans="1:4" x14ac:dyDescent="0.25">
      <c r="A13">
        <v>12</v>
      </c>
      <c r="B13">
        <v>301</v>
      </c>
      <c r="C13" s="3">
        <v>45708</v>
      </c>
      <c r="D13" t="s">
        <v>244</v>
      </c>
    </row>
    <row r="14" spans="1:4" x14ac:dyDescent="0.25">
      <c r="A14">
        <v>13</v>
      </c>
      <c r="B14">
        <v>302</v>
      </c>
      <c r="C14" s="3">
        <v>45692</v>
      </c>
      <c r="D14" t="s">
        <v>233</v>
      </c>
    </row>
    <row r="15" spans="1:4" x14ac:dyDescent="0.25">
      <c r="A15">
        <v>14</v>
      </c>
      <c r="B15">
        <v>302</v>
      </c>
      <c r="C15" s="3">
        <v>45693</v>
      </c>
      <c r="D15" t="s">
        <v>234</v>
      </c>
    </row>
    <row r="16" spans="1:4" x14ac:dyDescent="0.25">
      <c r="A16">
        <v>15</v>
      </c>
      <c r="B16">
        <v>302</v>
      </c>
      <c r="C16" s="3">
        <v>45695</v>
      </c>
      <c r="D16" t="s">
        <v>235</v>
      </c>
    </row>
    <row r="17" spans="1:4" x14ac:dyDescent="0.25">
      <c r="A17">
        <v>16</v>
      </c>
      <c r="B17">
        <v>302</v>
      </c>
      <c r="C17" s="3">
        <v>45696</v>
      </c>
      <c r="D17" t="s">
        <v>236</v>
      </c>
    </row>
    <row r="18" spans="1:4" x14ac:dyDescent="0.25">
      <c r="A18">
        <v>17</v>
      </c>
      <c r="B18">
        <v>302</v>
      </c>
      <c r="C18" s="3">
        <v>45698</v>
      </c>
      <c r="D18" t="s">
        <v>237</v>
      </c>
    </row>
    <row r="19" spans="1:4" x14ac:dyDescent="0.25">
      <c r="A19">
        <v>18</v>
      </c>
      <c r="B19">
        <v>302</v>
      </c>
      <c r="C19" s="3">
        <v>45699</v>
      </c>
      <c r="D19" t="s">
        <v>238</v>
      </c>
    </row>
    <row r="20" spans="1:4" x14ac:dyDescent="0.25">
      <c r="A20">
        <v>19</v>
      </c>
      <c r="B20">
        <v>302</v>
      </c>
      <c r="C20" s="3">
        <v>45701</v>
      </c>
      <c r="D20" t="s">
        <v>239</v>
      </c>
    </row>
    <row r="21" spans="1:4" x14ac:dyDescent="0.25">
      <c r="A21">
        <v>20</v>
      </c>
      <c r="B21">
        <v>302</v>
      </c>
      <c r="C21" s="3">
        <v>45702</v>
      </c>
      <c r="D21" t="s">
        <v>240</v>
      </c>
    </row>
    <row r="22" spans="1:4" x14ac:dyDescent="0.25">
      <c r="A22">
        <v>21</v>
      </c>
      <c r="B22">
        <v>302</v>
      </c>
      <c r="C22" s="3">
        <v>45704</v>
      </c>
      <c r="D22" t="s">
        <v>241</v>
      </c>
    </row>
    <row r="23" spans="1:4" x14ac:dyDescent="0.25">
      <c r="A23">
        <v>22</v>
      </c>
      <c r="B23">
        <v>302</v>
      </c>
      <c r="C23" s="3">
        <v>45705</v>
      </c>
      <c r="D23" t="s">
        <v>242</v>
      </c>
    </row>
    <row r="24" spans="1:4" x14ac:dyDescent="0.25">
      <c r="A24">
        <v>23</v>
      </c>
      <c r="B24">
        <v>302</v>
      </c>
      <c r="C24" s="3">
        <v>45707</v>
      </c>
      <c r="D24" t="s">
        <v>243</v>
      </c>
    </row>
    <row r="25" spans="1:4" x14ac:dyDescent="0.25">
      <c r="A25">
        <v>24</v>
      </c>
      <c r="B25">
        <v>302</v>
      </c>
      <c r="C25" s="3">
        <v>45708</v>
      </c>
      <c r="D25" t="s">
        <v>244</v>
      </c>
    </row>
    <row r="26" spans="1:4" x14ac:dyDescent="0.25">
      <c r="A26">
        <v>25</v>
      </c>
      <c r="B26">
        <v>303</v>
      </c>
      <c r="C26" s="3">
        <v>45700</v>
      </c>
      <c r="D26" t="s">
        <v>233</v>
      </c>
    </row>
    <row r="27" spans="1:4" x14ac:dyDescent="0.25">
      <c r="A27">
        <v>26</v>
      </c>
      <c r="B27">
        <v>303</v>
      </c>
      <c r="C27" s="3">
        <v>45701</v>
      </c>
      <c r="D27" t="s">
        <v>234</v>
      </c>
    </row>
    <row r="28" spans="1:4" x14ac:dyDescent="0.25">
      <c r="A28">
        <v>27</v>
      </c>
      <c r="B28">
        <v>303</v>
      </c>
      <c r="C28" s="3">
        <v>45702</v>
      </c>
      <c r="D28" t="s">
        <v>235</v>
      </c>
    </row>
    <row r="29" spans="1:4" x14ac:dyDescent="0.25">
      <c r="A29">
        <v>28</v>
      </c>
      <c r="B29">
        <v>303</v>
      </c>
      <c r="C29" s="3">
        <v>45703</v>
      </c>
      <c r="D29" t="s">
        <v>236</v>
      </c>
    </row>
    <row r="30" spans="1:4" x14ac:dyDescent="0.25">
      <c r="A30">
        <v>29</v>
      </c>
      <c r="B30">
        <v>303</v>
      </c>
      <c r="C30" s="3">
        <v>45704</v>
      </c>
      <c r="D30" t="s">
        <v>237</v>
      </c>
    </row>
    <row r="31" spans="1:4" x14ac:dyDescent="0.25">
      <c r="A31">
        <v>30</v>
      </c>
      <c r="B31">
        <v>303</v>
      </c>
      <c r="C31" s="3">
        <v>45705</v>
      </c>
      <c r="D31" t="s">
        <v>238</v>
      </c>
    </row>
    <row r="32" spans="1:4" x14ac:dyDescent="0.25">
      <c r="A32">
        <v>31</v>
      </c>
      <c r="B32">
        <v>303</v>
      </c>
      <c r="C32" s="3">
        <v>45706</v>
      </c>
      <c r="D32" t="s">
        <v>239</v>
      </c>
    </row>
    <row r="33" spans="1:4" x14ac:dyDescent="0.25">
      <c r="A33">
        <v>32</v>
      </c>
      <c r="B33">
        <v>303</v>
      </c>
      <c r="C33" s="3">
        <v>45707</v>
      </c>
      <c r="D33" t="s">
        <v>240</v>
      </c>
    </row>
    <row r="34" spans="1:4" x14ac:dyDescent="0.25">
      <c r="A34">
        <v>33</v>
      </c>
      <c r="B34">
        <v>303</v>
      </c>
      <c r="C34" s="3">
        <v>45708</v>
      </c>
      <c r="D34" t="s">
        <v>241</v>
      </c>
    </row>
    <row r="35" spans="1:4" x14ac:dyDescent="0.25">
      <c r="A35">
        <v>34</v>
      </c>
      <c r="B35">
        <v>303</v>
      </c>
      <c r="C35" s="3">
        <v>45709</v>
      </c>
      <c r="D35" t="s">
        <v>242</v>
      </c>
    </row>
    <row r="36" spans="1:4" x14ac:dyDescent="0.25">
      <c r="A36">
        <v>35</v>
      </c>
      <c r="B36">
        <v>304</v>
      </c>
      <c r="C36" s="3">
        <v>45696</v>
      </c>
      <c r="D36" t="s">
        <v>233</v>
      </c>
    </row>
    <row r="37" spans="1:4" x14ac:dyDescent="0.25">
      <c r="A37">
        <v>36</v>
      </c>
      <c r="B37">
        <v>304</v>
      </c>
      <c r="C37" s="3">
        <v>45697</v>
      </c>
      <c r="D37" t="s">
        <v>234</v>
      </c>
    </row>
    <row r="38" spans="1:4" x14ac:dyDescent="0.25">
      <c r="A38">
        <v>37</v>
      </c>
      <c r="B38">
        <v>304</v>
      </c>
      <c r="C38" s="3">
        <v>45698</v>
      </c>
      <c r="D38" t="s">
        <v>235</v>
      </c>
    </row>
    <row r="39" spans="1:4" x14ac:dyDescent="0.25">
      <c r="A39">
        <v>38</v>
      </c>
      <c r="B39">
        <v>304</v>
      </c>
      <c r="C39" s="3">
        <v>45699</v>
      </c>
      <c r="D39" t="s">
        <v>236</v>
      </c>
    </row>
    <row r="40" spans="1:4" x14ac:dyDescent="0.25">
      <c r="A40">
        <v>39</v>
      </c>
      <c r="B40">
        <v>304</v>
      </c>
      <c r="C40" s="3">
        <v>45700</v>
      </c>
      <c r="D40" t="s">
        <v>237</v>
      </c>
    </row>
    <row r="41" spans="1:4" x14ac:dyDescent="0.25">
      <c r="A41">
        <v>40</v>
      </c>
      <c r="B41">
        <v>304</v>
      </c>
      <c r="C41" s="3">
        <v>45701</v>
      </c>
      <c r="D41" t="s">
        <v>238</v>
      </c>
    </row>
    <row r="42" spans="1:4" x14ac:dyDescent="0.25">
      <c r="A42">
        <v>41</v>
      </c>
      <c r="B42">
        <v>304</v>
      </c>
      <c r="C42" s="3">
        <v>45702</v>
      </c>
      <c r="D42" t="s">
        <v>239</v>
      </c>
    </row>
    <row r="43" spans="1:4" x14ac:dyDescent="0.25">
      <c r="A43">
        <v>42</v>
      </c>
      <c r="B43">
        <v>304</v>
      </c>
      <c r="C43" s="3">
        <v>45703</v>
      </c>
      <c r="D43" t="s">
        <v>240</v>
      </c>
    </row>
    <row r="44" spans="1:4" x14ac:dyDescent="0.25">
      <c r="A44">
        <v>43</v>
      </c>
      <c r="B44">
        <v>304</v>
      </c>
      <c r="C44" s="3">
        <v>45704</v>
      </c>
      <c r="D44" t="s">
        <v>241</v>
      </c>
    </row>
    <row r="45" spans="1:4" x14ac:dyDescent="0.25">
      <c r="A45">
        <v>44</v>
      </c>
      <c r="B45">
        <v>304</v>
      </c>
      <c r="C45" s="3">
        <v>45705</v>
      </c>
      <c r="D45" t="s">
        <v>242</v>
      </c>
    </row>
    <row r="46" spans="1:4" x14ac:dyDescent="0.25">
      <c r="A46">
        <v>45</v>
      </c>
      <c r="B46">
        <v>304</v>
      </c>
      <c r="C46" s="3">
        <v>45706</v>
      </c>
      <c r="D46" t="s">
        <v>243</v>
      </c>
    </row>
    <row r="47" spans="1:4" x14ac:dyDescent="0.25">
      <c r="A47">
        <v>46</v>
      </c>
      <c r="B47">
        <v>304</v>
      </c>
      <c r="C47" s="3">
        <v>45707</v>
      </c>
      <c r="D47" t="s">
        <v>244</v>
      </c>
    </row>
    <row r="48" spans="1:4" x14ac:dyDescent="0.25">
      <c r="A48">
        <v>47</v>
      </c>
      <c r="B48">
        <v>305</v>
      </c>
      <c r="C48" s="3">
        <v>45675</v>
      </c>
      <c r="D48" t="s">
        <v>233</v>
      </c>
    </row>
    <row r="49" spans="1:4" x14ac:dyDescent="0.25">
      <c r="A49">
        <v>48</v>
      </c>
      <c r="B49">
        <v>305</v>
      </c>
      <c r="C49" s="3">
        <v>45676</v>
      </c>
      <c r="D49" t="s">
        <v>234</v>
      </c>
    </row>
    <row r="50" spans="1:4" x14ac:dyDescent="0.25">
      <c r="A50">
        <v>49</v>
      </c>
      <c r="B50">
        <v>305</v>
      </c>
      <c r="C50" s="3">
        <v>45677</v>
      </c>
      <c r="D50" t="s">
        <v>235</v>
      </c>
    </row>
    <row r="51" spans="1:4" x14ac:dyDescent="0.25">
      <c r="A51">
        <v>50</v>
      </c>
      <c r="B51">
        <v>305</v>
      </c>
      <c r="C51" s="3">
        <v>45678</v>
      </c>
      <c r="D51" t="s">
        <v>236</v>
      </c>
    </row>
    <row r="52" spans="1:4" x14ac:dyDescent="0.25">
      <c r="A52">
        <v>51</v>
      </c>
      <c r="B52">
        <v>305</v>
      </c>
      <c r="C52" s="3">
        <v>45679</v>
      </c>
      <c r="D52" t="s">
        <v>237</v>
      </c>
    </row>
    <row r="53" spans="1:4" x14ac:dyDescent="0.25">
      <c r="A53">
        <v>52</v>
      </c>
      <c r="B53">
        <v>305</v>
      </c>
      <c r="C53" s="3">
        <v>45680</v>
      </c>
      <c r="D53" t="s">
        <v>238</v>
      </c>
    </row>
    <row r="54" spans="1:4" x14ac:dyDescent="0.25">
      <c r="A54">
        <v>53</v>
      </c>
      <c r="B54">
        <v>305</v>
      </c>
      <c r="C54" s="3">
        <v>45681</v>
      </c>
      <c r="D54" t="s">
        <v>239</v>
      </c>
    </row>
    <row r="55" spans="1:4" x14ac:dyDescent="0.25">
      <c r="A55">
        <v>54</v>
      </c>
      <c r="B55">
        <v>305</v>
      </c>
      <c r="C55" s="3">
        <v>45682</v>
      </c>
      <c r="D55" t="s">
        <v>240</v>
      </c>
    </row>
    <row r="56" spans="1:4" x14ac:dyDescent="0.25">
      <c r="A56">
        <v>55</v>
      </c>
      <c r="B56">
        <v>305</v>
      </c>
      <c r="C56" s="3">
        <v>45683</v>
      </c>
      <c r="D56" t="s">
        <v>241</v>
      </c>
    </row>
    <row r="57" spans="1:4" x14ac:dyDescent="0.25">
      <c r="A57">
        <v>56</v>
      </c>
      <c r="B57">
        <v>305</v>
      </c>
      <c r="C57" s="3">
        <v>45684</v>
      </c>
      <c r="D57" t="s">
        <v>242</v>
      </c>
    </row>
    <row r="58" spans="1:4" x14ac:dyDescent="0.25">
      <c r="A58">
        <v>57</v>
      </c>
      <c r="B58">
        <v>305</v>
      </c>
      <c r="C58" s="3">
        <v>45685</v>
      </c>
      <c r="D58" t="s">
        <v>243</v>
      </c>
    </row>
    <row r="59" spans="1:4" x14ac:dyDescent="0.25">
      <c r="A59">
        <v>58</v>
      </c>
      <c r="B59">
        <v>305</v>
      </c>
      <c r="C59" s="3">
        <v>45686</v>
      </c>
      <c r="D59" t="s">
        <v>244</v>
      </c>
    </row>
    <row r="60" spans="1:4" x14ac:dyDescent="0.25">
      <c r="A60">
        <v>59</v>
      </c>
      <c r="B60">
        <v>306</v>
      </c>
      <c r="C60" s="3">
        <v>45691</v>
      </c>
      <c r="D60" t="s">
        <v>233</v>
      </c>
    </row>
    <row r="61" spans="1:4" x14ac:dyDescent="0.25">
      <c r="A61">
        <v>60</v>
      </c>
      <c r="B61">
        <v>306</v>
      </c>
      <c r="C61" s="3">
        <v>45692</v>
      </c>
      <c r="D61" t="s">
        <v>234</v>
      </c>
    </row>
    <row r="62" spans="1:4" x14ac:dyDescent="0.25">
      <c r="A62">
        <v>61</v>
      </c>
      <c r="B62">
        <v>306</v>
      </c>
      <c r="C62" s="3">
        <v>45694</v>
      </c>
      <c r="D62" t="s">
        <v>235</v>
      </c>
    </row>
    <row r="63" spans="1:4" x14ac:dyDescent="0.25">
      <c r="A63">
        <v>62</v>
      </c>
      <c r="B63">
        <v>306</v>
      </c>
      <c r="C63" s="3">
        <v>45695</v>
      </c>
      <c r="D63" t="s">
        <v>236</v>
      </c>
    </row>
    <row r="64" spans="1:4" x14ac:dyDescent="0.25">
      <c r="A64">
        <v>63</v>
      </c>
      <c r="B64">
        <v>306</v>
      </c>
      <c r="C64" s="3">
        <v>45697</v>
      </c>
      <c r="D64" t="s">
        <v>237</v>
      </c>
    </row>
    <row r="65" spans="1:4" x14ac:dyDescent="0.25">
      <c r="A65">
        <v>64</v>
      </c>
      <c r="B65">
        <v>306</v>
      </c>
      <c r="C65" s="3">
        <v>45698</v>
      </c>
      <c r="D65" t="s">
        <v>238</v>
      </c>
    </row>
    <row r="66" spans="1:4" x14ac:dyDescent="0.25">
      <c r="A66">
        <v>65</v>
      </c>
      <c r="B66">
        <v>306</v>
      </c>
      <c r="C66" s="3">
        <v>45700</v>
      </c>
      <c r="D66" t="s">
        <v>239</v>
      </c>
    </row>
    <row r="67" spans="1:4" x14ac:dyDescent="0.25">
      <c r="A67">
        <v>66</v>
      </c>
      <c r="B67">
        <v>306</v>
      </c>
      <c r="C67" s="3">
        <v>45701</v>
      </c>
      <c r="D67" t="s">
        <v>240</v>
      </c>
    </row>
    <row r="68" spans="1:4" x14ac:dyDescent="0.25">
      <c r="A68">
        <v>67</v>
      </c>
      <c r="B68">
        <v>306</v>
      </c>
      <c r="C68" s="3">
        <v>45703</v>
      </c>
      <c r="D68" t="s">
        <v>241</v>
      </c>
    </row>
    <row r="69" spans="1:4" x14ac:dyDescent="0.25">
      <c r="A69">
        <v>68</v>
      </c>
      <c r="B69">
        <v>306</v>
      </c>
      <c r="C69" s="3">
        <v>45704</v>
      </c>
      <c r="D69" t="s">
        <v>242</v>
      </c>
    </row>
    <row r="70" spans="1:4" x14ac:dyDescent="0.25">
      <c r="A70">
        <v>69</v>
      </c>
      <c r="B70">
        <v>306</v>
      </c>
      <c r="C70" s="3">
        <v>45706</v>
      </c>
      <c r="D70" t="s">
        <v>243</v>
      </c>
    </row>
    <row r="71" spans="1:4" x14ac:dyDescent="0.25">
      <c r="A71">
        <v>70</v>
      </c>
      <c r="B71">
        <v>306</v>
      </c>
      <c r="C71" s="3">
        <v>45707</v>
      </c>
      <c r="D71" t="s">
        <v>244</v>
      </c>
    </row>
    <row r="72" spans="1:4" x14ac:dyDescent="0.25">
      <c r="A72">
        <v>71</v>
      </c>
      <c r="B72">
        <v>306</v>
      </c>
      <c r="C72" s="3">
        <v>45709</v>
      </c>
      <c r="D72" t="s">
        <v>245</v>
      </c>
    </row>
    <row r="73" spans="1:4" x14ac:dyDescent="0.25">
      <c r="A73">
        <v>72</v>
      </c>
      <c r="B73">
        <v>306</v>
      </c>
      <c r="C73" s="3">
        <v>45710</v>
      </c>
      <c r="D73" t="s">
        <v>246</v>
      </c>
    </row>
    <row r="74" spans="1:4" x14ac:dyDescent="0.25">
      <c r="A74">
        <v>73</v>
      </c>
      <c r="B74">
        <v>307</v>
      </c>
      <c r="C74" s="3">
        <v>45690</v>
      </c>
      <c r="D74" t="s">
        <v>233</v>
      </c>
    </row>
    <row r="75" spans="1:4" x14ac:dyDescent="0.25">
      <c r="A75">
        <v>74</v>
      </c>
      <c r="B75">
        <v>307</v>
      </c>
      <c r="C75" s="3">
        <v>45691</v>
      </c>
      <c r="D75" t="s">
        <v>234</v>
      </c>
    </row>
    <row r="76" spans="1:4" x14ac:dyDescent="0.25">
      <c r="A76">
        <v>75</v>
      </c>
      <c r="B76">
        <v>307</v>
      </c>
      <c r="C76" s="3">
        <v>45693</v>
      </c>
      <c r="D76" t="s">
        <v>235</v>
      </c>
    </row>
    <row r="77" spans="1:4" x14ac:dyDescent="0.25">
      <c r="A77">
        <v>76</v>
      </c>
      <c r="B77">
        <v>307</v>
      </c>
      <c r="C77" s="3">
        <v>45694</v>
      </c>
      <c r="D77" t="s">
        <v>236</v>
      </c>
    </row>
    <row r="78" spans="1:4" x14ac:dyDescent="0.25">
      <c r="A78">
        <v>77</v>
      </c>
      <c r="B78">
        <v>307</v>
      </c>
      <c r="C78" s="3">
        <v>45696</v>
      </c>
      <c r="D78" t="s">
        <v>237</v>
      </c>
    </row>
    <row r="79" spans="1:4" x14ac:dyDescent="0.25">
      <c r="A79">
        <v>78</v>
      </c>
      <c r="B79">
        <v>307</v>
      </c>
      <c r="C79" s="3">
        <v>45697</v>
      </c>
      <c r="D79" t="s">
        <v>238</v>
      </c>
    </row>
    <row r="80" spans="1:4" x14ac:dyDescent="0.25">
      <c r="A80">
        <v>79</v>
      </c>
      <c r="B80">
        <v>307</v>
      </c>
      <c r="C80" s="3">
        <v>45699</v>
      </c>
      <c r="D80" t="s">
        <v>239</v>
      </c>
    </row>
    <row r="81" spans="1:4" x14ac:dyDescent="0.25">
      <c r="A81">
        <v>80</v>
      </c>
      <c r="B81">
        <v>307</v>
      </c>
      <c r="C81" s="3">
        <v>45700</v>
      </c>
      <c r="D81" t="s">
        <v>240</v>
      </c>
    </row>
    <row r="82" spans="1:4" x14ac:dyDescent="0.25">
      <c r="A82">
        <v>81</v>
      </c>
      <c r="B82">
        <v>307</v>
      </c>
      <c r="C82" s="3">
        <v>45702</v>
      </c>
      <c r="D82" t="s">
        <v>241</v>
      </c>
    </row>
    <row r="83" spans="1:4" x14ac:dyDescent="0.25">
      <c r="A83">
        <v>82</v>
      </c>
      <c r="B83">
        <v>307</v>
      </c>
      <c r="C83" s="3">
        <v>45703</v>
      </c>
      <c r="D83" t="s">
        <v>242</v>
      </c>
    </row>
    <row r="84" spans="1:4" x14ac:dyDescent="0.25">
      <c r="A84">
        <v>83</v>
      </c>
      <c r="B84">
        <v>307</v>
      </c>
      <c r="C84" s="3">
        <v>45705</v>
      </c>
      <c r="D84" t="s">
        <v>243</v>
      </c>
    </row>
    <row r="85" spans="1:4" x14ac:dyDescent="0.25">
      <c r="A85">
        <v>84</v>
      </c>
      <c r="B85">
        <v>307</v>
      </c>
      <c r="C85" s="3">
        <v>45706</v>
      </c>
      <c r="D85" t="s">
        <v>244</v>
      </c>
    </row>
    <row r="86" spans="1:4" x14ac:dyDescent="0.25">
      <c r="A86">
        <v>85</v>
      </c>
      <c r="B86">
        <v>307</v>
      </c>
      <c r="C86" s="3">
        <v>45708</v>
      </c>
      <c r="D86" t="s">
        <v>245</v>
      </c>
    </row>
    <row r="87" spans="1:4" x14ac:dyDescent="0.25">
      <c r="A87">
        <v>86</v>
      </c>
      <c r="B87">
        <v>307</v>
      </c>
      <c r="C87" s="3">
        <v>45709</v>
      </c>
      <c r="D87" t="s">
        <v>246</v>
      </c>
    </row>
    <row r="88" spans="1:4" x14ac:dyDescent="0.25">
      <c r="A88">
        <v>87</v>
      </c>
      <c r="B88">
        <v>308</v>
      </c>
      <c r="C88" s="3">
        <v>45701</v>
      </c>
      <c r="D88" t="s">
        <v>233</v>
      </c>
    </row>
    <row r="89" spans="1:4" x14ac:dyDescent="0.25">
      <c r="A89">
        <v>88</v>
      </c>
      <c r="B89">
        <v>308</v>
      </c>
      <c r="C89" s="3">
        <v>45702</v>
      </c>
      <c r="D89" t="s">
        <v>234</v>
      </c>
    </row>
    <row r="90" spans="1:4" x14ac:dyDescent="0.25">
      <c r="A90">
        <v>89</v>
      </c>
      <c r="B90">
        <v>308</v>
      </c>
      <c r="C90" s="3">
        <v>45704</v>
      </c>
      <c r="D90" t="s">
        <v>235</v>
      </c>
    </row>
    <row r="91" spans="1:4" x14ac:dyDescent="0.25">
      <c r="A91">
        <v>90</v>
      </c>
      <c r="B91">
        <v>308</v>
      </c>
      <c r="C91" s="3">
        <v>45705</v>
      </c>
      <c r="D91" t="s">
        <v>236</v>
      </c>
    </row>
    <row r="92" spans="1:4" x14ac:dyDescent="0.25">
      <c r="A92">
        <v>91</v>
      </c>
      <c r="B92">
        <v>308</v>
      </c>
      <c r="C92" s="3">
        <v>45707</v>
      </c>
      <c r="D92" t="s">
        <v>237</v>
      </c>
    </row>
    <row r="93" spans="1:4" x14ac:dyDescent="0.25">
      <c r="A93">
        <v>92</v>
      </c>
      <c r="B93">
        <v>308</v>
      </c>
      <c r="C93" s="3">
        <v>45708</v>
      </c>
      <c r="D93" t="s">
        <v>238</v>
      </c>
    </row>
    <row r="94" spans="1:4" x14ac:dyDescent="0.25">
      <c r="A94">
        <v>93</v>
      </c>
      <c r="B94">
        <v>308</v>
      </c>
      <c r="C94" s="3">
        <v>45710</v>
      </c>
      <c r="D94" t="s">
        <v>239</v>
      </c>
    </row>
    <row r="95" spans="1:4" x14ac:dyDescent="0.25">
      <c r="A95">
        <v>94</v>
      </c>
      <c r="B95">
        <v>308</v>
      </c>
      <c r="C95" s="3">
        <v>45711</v>
      </c>
      <c r="D95" t="s">
        <v>240</v>
      </c>
    </row>
    <row r="96" spans="1:4" x14ac:dyDescent="0.25">
      <c r="A96">
        <v>95</v>
      </c>
      <c r="B96">
        <v>308</v>
      </c>
      <c r="C96" s="3">
        <v>45713</v>
      </c>
      <c r="D96" t="s">
        <v>241</v>
      </c>
    </row>
    <row r="97" spans="1:4" x14ac:dyDescent="0.25">
      <c r="A97">
        <v>96</v>
      </c>
      <c r="B97">
        <v>308</v>
      </c>
      <c r="C97" s="3">
        <v>45714</v>
      </c>
      <c r="D97" t="s">
        <v>242</v>
      </c>
    </row>
    <row r="98" spans="1:4" x14ac:dyDescent="0.25">
      <c r="A98">
        <v>97</v>
      </c>
      <c r="B98">
        <v>308</v>
      </c>
      <c r="C98" s="3">
        <v>45716</v>
      </c>
      <c r="D98" t="s">
        <v>243</v>
      </c>
    </row>
    <row r="99" spans="1:4" x14ac:dyDescent="0.25">
      <c r="A99">
        <v>98</v>
      </c>
      <c r="B99">
        <v>308</v>
      </c>
      <c r="C99" s="3">
        <v>45717</v>
      </c>
      <c r="D99" t="s">
        <v>244</v>
      </c>
    </row>
    <row r="100" spans="1:4" x14ac:dyDescent="0.25">
      <c r="A100">
        <v>99</v>
      </c>
      <c r="B100">
        <v>308</v>
      </c>
      <c r="C100" s="3">
        <v>45719</v>
      </c>
      <c r="D100" t="s">
        <v>245</v>
      </c>
    </row>
    <row r="101" spans="1:4" x14ac:dyDescent="0.25">
      <c r="A101">
        <v>100</v>
      </c>
      <c r="B101">
        <v>308</v>
      </c>
      <c r="C101" s="3">
        <v>45720</v>
      </c>
      <c r="D101" t="s">
        <v>246</v>
      </c>
    </row>
    <row r="102" spans="1:4" x14ac:dyDescent="0.25">
      <c r="A102">
        <v>101</v>
      </c>
      <c r="B102">
        <v>309</v>
      </c>
      <c r="C102" s="3">
        <v>45688</v>
      </c>
      <c r="D102" t="s">
        <v>233</v>
      </c>
    </row>
    <row r="103" spans="1:4" x14ac:dyDescent="0.25">
      <c r="A103">
        <v>102</v>
      </c>
      <c r="B103">
        <v>309</v>
      </c>
      <c r="C103" s="3">
        <v>45689</v>
      </c>
      <c r="D103" t="s">
        <v>234</v>
      </c>
    </row>
    <row r="104" spans="1:4" x14ac:dyDescent="0.25">
      <c r="A104">
        <v>103</v>
      </c>
      <c r="B104">
        <v>309</v>
      </c>
      <c r="C104" s="3">
        <v>45690</v>
      </c>
      <c r="D104" t="s">
        <v>235</v>
      </c>
    </row>
    <row r="105" spans="1:4" x14ac:dyDescent="0.25">
      <c r="A105">
        <v>104</v>
      </c>
      <c r="B105">
        <v>309</v>
      </c>
      <c r="C105" s="3">
        <v>45691</v>
      </c>
      <c r="D105" t="s">
        <v>236</v>
      </c>
    </row>
    <row r="106" spans="1:4" x14ac:dyDescent="0.25">
      <c r="A106">
        <v>105</v>
      </c>
      <c r="B106">
        <v>309</v>
      </c>
      <c r="C106" s="3">
        <v>45692</v>
      </c>
      <c r="D106" t="s">
        <v>237</v>
      </c>
    </row>
    <row r="107" spans="1:4" x14ac:dyDescent="0.25">
      <c r="A107">
        <v>106</v>
      </c>
      <c r="B107">
        <v>309</v>
      </c>
      <c r="C107" s="3">
        <v>45693</v>
      </c>
      <c r="D107" t="s">
        <v>238</v>
      </c>
    </row>
    <row r="108" spans="1:4" x14ac:dyDescent="0.25">
      <c r="A108">
        <v>107</v>
      </c>
      <c r="B108">
        <v>309</v>
      </c>
      <c r="C108" s="3">
        <v>45694</v>
      </c>
      <c r="D108" t="s">
        <v>239</v>
      </c>
    </row>
    <row r="109" spans="1:4" x14ac:dyDescent="0.25">
      <c r="A109">
        <v>108</v>
      </c>
      <c r="B109">
        <v>309</v>
      </c>
      <c r="C109" s="3">
        <v>45695</v>
      </c>
      <c r="D109" t="s">
        <v>240</v>
      </c>
    </row>
    <row r="110" spans="1:4" x14ac:dyDescent="0.25">
      <c r="A110">
        <v>109</v>
      </c>
      <c r="B110">
        <v>309</v>
      </c>
      <c r="C110" s="3">
        <v>45696</v>
      </c>
      <c r="D110" t="s">
        <v>241</v>
      </c>
    </row>
    <row r="111" spans="1:4" x14ac:dyDescent="0.25">
      <c r="A111">
        <v>110</v>
      </c>
      <c r="B111">
        <v>309</v>
      </c>
      <c r="C111" s="3">
        <v>45697</v>
      </c>
      <c r="D111" t="s">
        <v>242</v>
      </c>
    </row>
    <row r="112" spans="1:4" x14ac:dyDescent="0.25">
      <c r="A112">
        <v>111</v>
      </c>
      <c r="B112">
        <v>310</v>
      </c>
      <c r="C112" s="3">
        <v>45673</v>
      </c>
      <c r="D112" t="s">
        <v>233</v>
      </c>
    </row>
    <row r="113" spans="1:4" x14ac:dyDescent="0.25">
      <c r="A113">
        <v>112</v>
      </c>
      <c r="B113">
        <v>310</v>
      </c>
      <c r="C113" s="3">
        <v>45674</v>
      </c>
      <c r="D113" t="s">
        <v>234</v>
      </c>
    </row>
    <row r="114" spans="1:4" x14ac:dyDescent="0.25">
      <c r="A114">
        <v>113</v>
      </c>
      <c r="B114">
        <v>310</v>
      </c>
      <c r="C114" s="3">
        <v>45676</v>
      </c>
      <c r="D114" t="s">
        <v>235</v>
      </c>
    </row>
    <row r="115" spans="1:4" x14ac:dyDescent="0.25">
      <c r="A115">
        <v>114</v>
      </c>
      <c r="B115">
        <v>310</v>
      </c>
      <c r="C115" s="3">
        <v>45677</v>
      </c>
      <c r="D115" t="s">
        <v>236</v>
      </c>
    </row>
    <row r="116" spans="1:4" x14ac:dyDescent="0.25">
      <c r="A116">
        <v>115</v>
      </c>
      <c r="B116">
        <v>310</v>
      </c>
      <c r="C116" s="3">
        <v>45679</v>
      </c>
      <c r="D116" t="s">
        <v>237</v>
      </c>
    </row>
    <row r="117" spans="1:4" x14ac:dyDescent="0.25">
      <c r="A117">
        <v>116</v>
      </c>
      <c r="B117">
        <v>310</v>
      </c>
      <c r="C117" s="3">
        <v>45680</v>
      </c>
      <c r="D117" t="s">
        <v>238</v>
      </c>
    </row>
    <row r="118" spans="1:4" x14ac:dyDescent="0.25">
      <c r="A118">
        <v>117</v>
      </c>
      <c r="B118">
        <v>310</v>
      </c>
      <c r="C118" s="3">
        <v>45682</v>
      </c>
      <c r="D118" t="s">
        <v>239</v>
      </c>
    </row>
    <row r="119" spans="1:4" x14ac:dyDescent="0.25">
      <c r="A119">
        <v>118</v>
      </c>
      <c r="B119">
        <v>310</v>
      </c>
      <c r="C119" s="3">
        <v>45683</v>
      </c>
      <c r="D119" t="s">
        <v>240</v>
      </c>
    </row>
    <row r="120" spans="1:4" x14ac:dyDescent="0.25">
      <c r="A120">
        <v>119</v>
      </c>
      <c r="B120">
        <v>310</v>
      </c>
      <c r="C120" s="3">
        <v>45685</v>
      </c>
      <c r="D120" t="s">
        <v>241</v>
      </c>
    </row>
    <row r="121" spans="1:4" x14ac:dyDescent="0.25">
      <c r="A121">
        <v>120</v>
      </c>
      <c r="B121">
        <v>310</v>
      </c>
      <c r="C121" s="3">
        <v>45686</v>
      </c>
      <c r="D121" t="s">
        <v>242</v>
      </c>
    </row>
    <row r="122" spans="1:4" x14ac:dyDescent="0.25">
      <c r="A122">
        <v>121</v>
      </c>
      <c r="B122">
        <v>311</v>
      </c>
      <c r="C122" s="3">
        <v>45688</v>
      </c>
      <c r="D122" t="s">
        <v>233</v>
      </c>
    </row>
    <row r="123" spans="1:4" x14ac:dyDescent="0.25">
      <c r="A123">
        <v>122</v>
      </c>
      <c r="B123">
        <v>311</v>
      </c>
      <c r="C123" s="3">
        <v>45689</v>
      </c>
      <c r="D123" t="s">
        <v>234</v>
      </c>
    </row>
    <row r="124" spans="1:4" x14ac:dyDescent="0.25">
      <c r="A124">
        <v>123</v>
      </c>
      <c r="B124">
        <v>311</v>
      </c>
      <c r="C124" s="3">
        <v>45691</v>
      </c>
      <c r="D124" t="s">
        <v>235</v>
      </c>
    </row>
    <row r="125" spans="1:4" x14ac:dyDescent="0.25">
      <c r="A125">
        <v>124</v>
      </c>
      <c r="B125">
        <v>311</v>
      </c>
      <c r="C125" s="3">
        <v>45692</v>
      </c>
      <c r="D125" t="s">
        <v>236</v>
      </c>
    </row>
    <row r="126" spans="1:4" x14ac:dyDescent="0.25">
      <c r="A126">
        <v>125</v>
      </c>
      <c r="B126">
        <v>311</v>
      </c>
      <c r="C126" s="3">
        <v>45694</v>
      </c>
      <c r="D126" t="s">
        <v>237</v>
      </c>
    </row>
    <row r="127" spans="1:4" x14ac:dyDescent="0.25">
      <c r="A127">
        <v>126</v>
      </c>
      <c r="B127">
        <v>311</v>
      </c>
      <c r="C127" s="3">
        <v>45695</v>
      </c>
      <c r="D127" t="s">
        <v>238</v>
      </c>
    </row>
    <row r="128" spans="1:4" x14ac:dyDescent="0.25">
      <c r="A128">
        <v>127</v>
      </c>
      <c r="B128">
        <v>311</v>
      </c>
      <c r="C128" s="3">
        <v>45697</v>
      </c>
      <c r="D128" t="s">
        <v>239</v>
      </c>
    </row>
    <row r="129" spans="1:4" x14ac:dyDescent="0.25">
      <c r="A129">
        <v>128</v>
      </c>
      <c r="B129">
        <v>311</v>
      </c>
      <c r="C129" s="3">
        <v>45698</v>
      </c>
      <c r="D129" t="s">
        <v>240</v>
      </c>
    </row>
    <row r="130" spans="1:4" x14ac:dyDescent="0.25">
      <c r="A130">
        <v>129</v>
      </c>
      <c r="B130">
        <v>311</v>
      </c>
      <c r="C130" s="3">
        <v>45700</v>
      </c>
      <c r="D130" t="s">
        <v>241</v>
      </c>
    </row>
    <row r="131" spans="1:4" x14ac:dyDescent="0.25">
      <c r="A131">
        <v>130</v>
      </c>
      <c r="B131">
        <v>311</v>
      </c>
      <c r="C131" s="3">
        <v>45701</v>
      </c>
      <c r="D131" t="s">
        <v>242</v>
      </c>
    </row>
    <row r="132" spans="1:4" x14ac:dyDescent="0.25">
      <c r="A132">
        <v>131</v>
      </c>
      <c r="B132">
        <v>312</v>
      </c>
      <c r="C132" s="3">
        <v>45663</v>
      </c>
      <c r="D132" t="s">
        <v>233</v>
      </c>
    </row>
    <row r="133" spans="1:4" x14ac:dyDescent="0.25">
      <c r="A133">
        <v>132</v>
      </c>
      <c r="B133">
        <v>312</v>
      </c>
      <c r="C133" s="3">
        <v>45664</v>
      </c>
      <c r="D133" t="s">
        <v>234</v>
      </c>
    </row>
    <row r="134" spans="1:4" x14ac:dyDescent="0.25">
      <c r="A134">
        <v>133</v>
      </c>
      <c r="B134">
        <v>312</v>
      </c>
      <c r="C134" s="3">
        <v>45666</v>
      </c>
      <c r="D134" t="s">
        <v>235</v>
      </c>
    </row>
    <row r="135" spans="1:4" x14ac:dyDescent="0.25">
      <c r="A135">
        <v>134</v>
      </c>
      <c r="B135">
        <v>312</v>
      </c>
      <c r="C135" s="3">
        <v>45667</v>
      </c>
      <c r="D135" t="s">
        <v>236</v>
      </c>
    </row>
    <row r="136" spans="1:4" x14ac:dyDescent="0.25">
      <c r="A136">
        <v>135</v>
      </c>
      <c r="B136">
        <v>312</v>
      </c>
      <c r="C136" s="3">
        <v>45669</v>
      </c>
      <c r="D136" t="s">
        <v>237</v>
      </c>
    </row>
    <row r="137" spans="1:4" x14ac:dyDescent="0.25">
      <c r="A137">
        <v>136</v>
      </c>
      <c r="B137">
        <v>312</v>
      </c>
      <c r="C137" s="3">
        <v>45670</v>
      </c>
      <c r="D137" t="s">
        <v>238</v>
      </c>
    </row>
    <row r="138" spans="1:4" x14ac:dyDescent="0.25">
      <c r="A138">
        <v>137</v>
      </c>
      <c r="B138">
        <v>312</v>
      </c>
      <c r="C138" s="3">
        <v>45672</v>
      </c>
      <c r="D138" t="s">
        <v>239</v>
      </c>
    </row>
    <row r="139" spans="1:4" x14ac:dyDescent="0.25">
      <c r="A139">
        <v>138</v>
      </c>
      <c r="B139">
        <v>312</v>
      </c>
      <c r="C139" s="3">
        <v>45673</v>
      </c>
      <c r="D139" t="s">
        <v>240</v>
      </c>
    </row>
    <row r="140" spans="1:4" x14ac:dyDescent="0.25">
      <c r="A140">
        <v>139</v>
      </c>
      <c r="B140">
        <v>312</v>
      </c>
      <c r="C140" s="3">
        <v>45675</v>
      </c>
      <c r="D140" t="s">
        <v>241</v>
      </c>
    </row>
    <row r="141" spans="1:4" x14ac:dyDescent="0.25">
      <c r="A141">
        <v>140</v>
      </c>
      <c r="B141">
        <v>312</v>
      </c>
      <c r="C141" s="3">
        <v>45676</v>
      </c>
      <c r="D141" t="s">
        <v>242</v>
      </c>
    </row>
    <row r="142" spans="1:4" x14ac:dyDescent="0.25">
      <c r="A142">
        <v>141</v>
      </c>
      <c r="B142">
        <v>312</v>
      </c>
      <c r="C142" s="3">
        <v>45678</v>
      </c>
      <c r="D142" t="s">
        <v>243</v>
      </c>
    </row>
    <row r="143" spans="1:4" x14ac:dyDescent="0.25">
      <c r="A143">
        <v>142</v>
      </c>
      <c r="B143">
        <v>312</v>
      </c>
      <c r="C143" s="3">
        <v>45679</v>
      </c>
      <c r="D143" t="s">
        <v>244</v>
      </c>
    </row>
    <row r="144" spans="1:4" x14ac:dyDescent="0.25">
      <c r="A144">
        <v>143</v>
      </c>
      <c r="B144">
        <v>312</v>
      </c>
      <c r="C144" s="3">
        <v>45681</v>
      </c>
      <c r="D144" t="s">
        <v>245</v>
      </c>
    </row>
    <row r="145" spans="1:4" x14ac:dyDescent="0.25">
      <c r="A145">
        <v>144</v>
      </c>
      <c r="B145">
        <v>312</v>
      </c>
      <c r="C145" s="3">
        <v>45682</v>
      </c>
      <c r="D145" t="s">
        <v>246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55"/>
  <sheetViews>
    <sheetView zoomScale="85" zoomScaleNormal="85" workbookViewId="0">
      <selection activeCell="F5" sqref="F5"/>
    </sheetView>
  </sheetViews>
  <sheetFormatPr defaultRowHeight="15" x14ac:dyDescent="0.25"/>
  <cols>
    <col min="1" max="1" width="26" customWidth="1"/>
    <col min="2" max="2" width="64" customWidth="1"/>
    <col min="3" max="3" width="18" customWidth="1"/>
    <col min="4" max="4" width="21.5703125" style="19" customWidth="1"/>
    <col min="5" max="5" width="18.5703125" bestFit="1" customWidth="1"/>
    <col min="6" max="6" width="32.42578125" bestFit="1" customWidth="1"/>
    <col min="7" max="7" width="31.140625" bestFit="1" customWidth="1"/>
    <col min="8" max="12" width="18" customWidth="1"/>
  </cols>
  <sheetData>
    <row r="1" spans="1:6" x14ac:dyDescent="0.25">
      <c r="A1" t="s">
        <v>230</v>
      </c>
      <c r="B1" t="s">
        <v>85</v>
      </c>
      <c r="C1" t="s">
        <v>247</v>
      </c>
      <c r="D1" s="19" t="s">
        <v>285</v>
      </c>
      <c r="F1" s="16" t="s">
        <v>265</v>
      </c>
    </row>
    <row r="2" spans="1:6" x14ac:dyDescent="0.25">
      <c r="A2">
        <v>1</v>
      </c>
      <c r="B2">
        <v>1010</v>
      </c>
      <c r="C2">
        <v>1</v>
      </c>
      <c r="D2" s="19" t="str">
        <f>IF(MONTH(_xlfn.XLOOKUP(Attendance_Table[[#This Row],[session_id]],Sessions_Table[session_id],Sessions_Table[session_date]))=MONTH(MAX(Sessions_Table[session_date])),"Yes","No")</f>
        <v>No</v>
      </c>
      <c r="F2" s="21">
        <f>AVERAGE(Attendance_Table[present])</f>
        <v>0.86784140969162993</v>
      </c>
    </row>
    <row r="3" spans="1:6" x14ac:dyDescent="0.25">
      <c r="A3">
        <v>1</v>
      </c>
      <c r="B3">
        <v>1020</v>
      </c>
      <c r="C3">
        <v>1</v>
      </c>
      <c r="D3" s="19" t="str">
        <f>IF(MONTH(_xlfn.XLOOKUP(Attendance_Table[[#This Row],[session_id]],Sessions_Table[session_id],Sessions_Table[session_date]))=MONTH(MAX(Sessions_Table[session_date])),"Yes","No")</f>
        <v>No</v>
      </c>
    </row>
    <row r="4" spans="1:6" x14ac:dyDescent="0.25">
      <c r="A4">
        <v>1</v>
      </c>
      <c r="B4">
        <v>1027</v>
      </c>
      <c r="C4">
        <v>1</v>
      </c>
      <c r="D4" s="19" t="str">
        <f>IF(MONTH(_xlfn.XLOOKUP(Attendance_Table[[#This Row],[session_id]],Sessions_Table[session_id],Sessions_Table[session_date]))=MONTH(MAX(Sessions_Table[session_date])),"Yes","No")</f>
        <v>No</v>
      </c>
      <c r="F4" s="23" t="s">
        <v>286</v>
      </c>
    </row>
    <row r="5" spans="1:6" x14ac:dyDescent="0.25">
      <c r="A5">
        <v>1</v>
      </c>
      <c r="B5">
        <v>1029</v>
      </c>
      <c r="C5">
        <v>1</v>
      </c>
      <c r="D5" s="19" t="str">
        <f>IF(MONTH(_xlfn.XLOOKUP(Attendance_Table[[#This Row],[session_id]],Sessions_Table[session_id],Sessions_Table[session_date]))=MONTH(MAX(Sessions_Table[session_date])),"Yes","No")</f>
        <v>No</v>
      </c>
      <c r="F5" s="24" cm="1">
        <f t="array" ref="F5">COUNT(_xlfn.UNIQUE(_xlfn._xlws.FILTER(Attendance_Table[student_id], (Attendance_Table[session_in_last_month]="Yes")*(Attendance_Table[present]=1))))</f>
        <v>6</v>
      </c>
    </row>
    <row r="6" spans="1:6" x14ac:dyDescent="0.25">
      <c r="A6">
        <v>2</v>
      </c>
      <c r="B6">
        <v>1010</v>
      </c>
      <c r="C6">
        <v>1</v>
      </c>
      <c r="D6" s="19" t="str">
        <f>IF(MONTH(_xlfn.XLOOKUP(Attendance_Table[[#This Row],[session_id]],Sessions_Table[session_id],Sessions_Table[session_date]))=MONTH(MAX(Sessions_Table[session_date])),"Yes","No")</f>
        <v>No</v>
      </c>
    </row>
    <row r="7" spans="1:6" x14ac:dyDescent="0.25">
      <c r="A7">
        <v>2</v>
      </c>
      <c r="B7">
        <v>1020</v>
      </c>
      <c r="C7">
        <v>1</v>
      </c>
      <c r="D7" s="19" t="str">
        <f>IF(MONTH(_xlfn.XLOOKUP(Attendance_Table[[#This Row],[session_id]],Sessions_Table[session_id],Sessions_Table[session_date]))=MONTH(MAX(Sessions_Table[session_date])),"Yes","No")</f>
        <v>No</v>
      </c>
    </row>
    <row r="8" spans="1:6" x14ac:dyDescent="0.25">
      <c r="A8">
        <v>2</v>
      </c>
      <c r="B8">
        <v>1027</v>
      </c>
      <c r="C8">
        <v>0</v>
      </c>
      <c r="D8" s="19" t="str">
        <f>IF(MONTH(_xlfn.XLOOKUP(Attendance_Table[[#This Row],[session_id]],Sessions_Table[session_id],Sessions_Table[session_date]))=MONTH(MAX(Sessions_Table[session_date])),"Yes","No")</f>
        <v>No</v>
      </c>
    </row>
    <row r="9" spans="1:6" x14ac:dyDescent="0.25">
      <c r="A9">
        <v>2</v>
      </c>
      <c r="B9">
        <v>1029</v>
      </c>
      <c r="C9">
        <v>1</v>
      </c>
      <c r="D9" s="19" t="str">
        <f>IF(MONTH(_xlfn.XLOOKUP(Attendance_Table[[#This Row],[session_id]],Sessions_Table[session_id],Sessions_Table[session_date]))=MONTH(MAX(Sessions_Table[session_date])),"Yes","No")</f>
        <v>No</v>
      </c>
    </row>
    <row r="10" spans="1:6" x14ac:dyDescent="0.25">
      <c r="A10">
        <v>3</v>
      </c>
      <c r="B10">
        <v>1010</v>
      </c>
      <c r="C10">
        <v>1</v>
      </c>
      <c r="D10" s="19" t="str">
        <f>IF(MONTH(_xlfn.XLOOKUP(Attendance_Table[[#This Row],[session_id]],Sessions_Table[session_id],Sessions_Table[session_date]))=MONTH(MAX(Sessions_Table[session_date])),"Yes","No")</f>
        <v>No</v>
      </c>
    </row>
    <row r="11" spans="1:6" x14ac:dyDescent="0.25">
      <c r="A11">
        <v>3</v>
      </c>
      <c r="B11">
        <v>1020</v>
      </c>
      <c r="C11">
        <v>1</v>
      </c>
      <c r="D11" s="19" t="str">
        <f>IF(MONTH(_xlfn.XLOOKUP(Attendance_Table[[#This Row],[session_id]],Sessions_Table[session_id],Sessions_Table[session_date]))=MONTH(MAX(Sessions_Table[session_date])),"Yes","No")</f>
        <v>No</v>
      </c>
    </row>
    <row r="12" spans="1:6" x14ac:dyDescent="0.25">
      <c r="A12">
        <v>3</v>
      </c>
      <c r="B12">
        <v>1027</v>
      </c>
      <c r="C12">
        <v>1</v>
      </c>
      <c r="D12" s="19" t="str">
        <f>IF(MONTH(_xlfn.XLOOKUP(Attendance_Table[[#This Row],[session_id]],Sessions_Table[session_id],Sessions_Table[session_date]))=MONTH(MAX(Sessions_Table[session_date])),"Yes","No")</f>
        <v>No</v>
      </c>
    </row>
    <row r="13" spans="1:6" x14ac:dyDescent="0.25">
      <c r="A13">
        <v>3</v>
      </c>
      <c r="B13">
        <v>1029</v>
      </c>
      <c r="C13">
        <v>1</v>
      </c>
      <c r="D13" s="19" t="str">
        <f>IF(MONTH(_xlfn.XLOOKUP(Attendance_Table[[#This Row],[session_id]],Sessions_Table[session_id],Sessions_Table[session_date]))=MONTH(MAX(Sessions_Table[session_date])),"Yes","No")</f>
        <v>No</v>
      </c>
    </row>
    <row r="14" spans="1:6" x14ac:dyDescent="0.25">
      <c r="A14">
        <v>4</v>
      </c>
      <c r="B14">
        <v>1010</v>
      </c>
      <c r="C14">
        <v>0</v>
      </c>
      <c r="D14" s="19" t="str">
        <f>IF(MONTH(_xlfn.XLOOKUP(Attendance_Table[[#This Row],[session_id]],Sessions_Table[session_id],Sessions_Table[session_date]))=MONTH(MAX(Sessions_Table[session_date])),"Yes","No")</f>
        <v>No</v>
      </c>
    </row>
    <row r="15" spans="1:6" x14ac:dyDescent="0.25">
      <c r="A15">
        <v>4</v>
      </c>
      <c r="B15">
        <v>1020</v>
      </c>
      <c r="C15">
        <v>1</v>
      </c>
      <c r="D15" s="19" t="str">
        <f>IF(MONTH(_xlfn.XLOOKUP(Attendance_Table[[#This Row],[session_id]],Sessions_Table[session_id],Sessions_Table[session_date]))=MONTH(MAX(Sessions_Table[session_date])),"Yes","No")</f>
        <v>No</v>
      </c>
    </row>
    <row r="16" spans="1:6" x14ac:dyDescent="0.25">
      <c r="A16">
        <v>4</v>
      </c>
      <c r="B16">
        <v>1027</v>
      </c>
      <c r="C16">
        <v>1</v>
      </c>
      <c r="D16" s="19" t="str">
        <f>IF(MONTH(_xlfn.XLOOKUP(Attendance_Table[[#This Row],[session_id]],Sessions_Table[session_id],Sessions_Table[session_date]))=MONTH(MAX(Sessions_Table[session_date])),"Yes","No")</f>
        <v>No</v>
      </c>
    </row>
    <row r="17" spans="1:4" x14ac:dyDescent="0.25">
      <c r="A17">
        <v>4</v>
      </c>
      <c r="B17">
        <v>1029</v>
      </c>
      <c r="C17">
        <v>1</v>
      </c>
      <c r="D17" s="19" t="str">
        <f>IF(MONTH(_xlfn.XLOOKUP(Attendance_Table[[#This Row],[session_id]],Sessions_Table[session_id],Sessions_Table[session_date]))=MONTH(MAX(Sessions_Table[session_date])),"Yes","No")</f>
        <v>No</v>
      </c>
    </row>
    <row r="18" spans="1:4" x14ac:dyDescent="0.25">
      <c r="A18">
        <v>5</v>
      </c>
      <c r="B18">
        <v>1010</v>
      </c>
      <c r="C18">
        <v>0</v>
      </c>
      <c r="D18" s="19" t="str">
        <f>IF(MONTH(_xlfn.XLOOKUP(Attendance_Table[[#This Row],[session_id]],Sessions_Table[session_id],Sessions_Table[session_date]))=MONTH(MAX(Sessions_Table[session_date])),"Yes","No")</f>
        <v>No</v>
      </c>
    </row>
    <row r="19" spans="1:4" x14ac:dyDescent="0.25">
      <c r="A19">
        <v>5</v>
      </c>
      <c r="B19">
        <v>1020</v>
      </c>
      <c r="C19">
        <v>1</v>
      </c>
      <c r="D19" s="19" t="str">
        <f>IF(MONTH(_xlfn.XLOOKUP(Attendance_Table[[#This Row],[session_id]],Sessions_Table[session_id],Sessions_Table[session_date]))=MONTH(MAX(Sessions_Table[session_date])),"Yes","No")</f>
        <v>No</v>
      </c>
    </row>
    <row r="20" spans="1:4" x14ac:dyDescent="0.25">
      <c r="A20">
        <v>5</v>
      </c>
      <c r="B20">
        <v>1027</v>
      </c>
      <c r="C20">
        <v>1</v>
      </c>
      <c r="D20" s="19" t="str">
        <f>IF(MONTH(_xlfn.XLOOKUP(Attendance_Table[[#This Row],[session_id]],Sessions_Table[session_id],Sessions_Table[session_date]))=MONTH(MAX(Sessions_Table[session_date])),"Yes","No")</f>
        <v>No</v>
      </c>
    </row>
    <row r="21" spans="1:4" x14ac:dyDescent="0.25">
      <c r="A21">
        <v>5</v>
      </c>
      <c r="B21">
        <v>1029</v>
      </c>
      <c r="C21">
        <v>0</v>
      </c>
      <c r="D21" s="19" t="str">
        <f>IF(MONTH(_xlfn.XLOOKUP(Attendance_Table[[#This Row],[session_id]],Sessions_Table[session_id],Sessions_Table[session_date]))=MONTH(MAX(Sessions_Table[session_date])),"Yes","No")</f>
        <v>No</v>
      </c>
    </row>
    <row r="22" spans="1:4" x14ac:dyDescent="0.25">
      <c r="A22">
        <v>6</v>
      </c>
      <c r="B22">
        <v>1010</v>
      </c>
      <c r="C22">
        <v>1</v>
      </c>
      <c r="D22" s="19" t="str">
        <f>IF(MONTH(_xlfn.XLOOKUP(Attendance_Table[[#This Row],[session_id]],Sessions_Table[session_id],Sessions_Table[session_date]))=MONTH(MAX(Sessions_Table[session_date])),"Yes","No")</f>
        <v>No</v>
      </c>
    </row>
    <row r="23" spans="1:4" x14ac:dyDescent="0.25">
      <c r="A23">
        <v>6</v>
      </c>
      <c r="B23">
        <v>1020</v>
      </c>
      <c r="C23">
        <v>1</v>
      </c>
      <c r="D23" s="19" t="str">
        <f>IF(MONTH(_xlfn.XLOOKUP(Attendance_Table[[#This Row],[session_id]],Sessions_Table[session_id],Sessions_Table[session_date]))=MONTH(MAX(Sessions_Table[session_date])),"Yes","No")</f>
        <v>No</v>
      </c>
    </row>
    <row r="24" spans="1:4" x14ac:dyDescent="0.25">
      <c r="A24">
        <v>6</v>
      </c>
      <c r="B24">
        <v>1027</v>
      </c>
      <c r="C24">
        <v>1</v>
      </c>
      <c r="D24" s="19" t="str">
        <f>IF(MONTH(_xlfn.XLOOKUP(Attendance_Table[[#This Row],[session_id]],Sessions_Table[session_id],Sessions_Table[session_date]))=MONTH(MAX(Sessions_Table[session_date])),"Yes","No")</f>
        <v>No</v>
      </c>
    </row>
    <row r="25" spans="1:4" x14ac:dyDescent="0.25">
      <c r="A25">
        <v>6</v>
      </c>
      <c r="B25">
        <v>1029</v>
      </c>
      <c r="C25">
        <v>0</v>
      </c>
      <c r="D25" s="19" t="str">
        <f>IF(MONTH(_xlfn.XLOOKUP(Attendance_Table[[#This Row],[session_id]],Sessions_Table[session_id],Sessions_Table[session_date]))=MONTH(MAX(Sessions_Table[session_date])),"Yes","No")</f>
        <v>No</v>
      </c>
    </row>
    <row r="26" spans="1:4" x14ac:dyDescent="0.25">
      <c r="A26">
        <v>7</v>
      </c>
      <c r="B26">
        <v>1010</v>
      </c>
      <c r="C26">
        <v>0</v>
      </c>
      <c r="D26" s="19" t="str">
        <f>IF(MONTH(_xlfn.XLOOKUP(Attendance_Table[[#This Row],[session_id]],Sessions_Table[session_id],Sessions_Table[session_date]))=MONTH(MAX(Sessions_Table[session_date])),"Yes","No")</f>
        <v>No</v>
      </c>
    </row>
    <row r="27" spans="1:4" x14ac:dyDescent="0.25">
      <c r="A27">
        <v>7</v>
      </c>
      <c r="B27">
        <v>1020</v>
      </c>
      <c r="C27">
        <v>1</v>
      </c>
      <c r="D27" s="19" t="str">
        <f>IF(MONTH(_xlfn.XLOOKUP(Attendance_Table[[#This Row],[session_id]],Sessions_Table[session_id],Sessions_Table[session_date]))=MONTH(MAX(Sessions_Table[session_date])),"Yes","No")</f>
        <v>No</v>
      </c>
    </row>
    <row r="28" spans="1:4" x14ac:dyDescent="0.25">
      <c r="A28">
        <v>7</v>
      </c>
      <c r="B28">
        <v>1027</v>
      </c>
      <c r="C28">
        <v>1</v>
      </c>
      <c r="D28" s="19" t="str">
        <f>IF(MONTH(_xlfn.XLOOKUP(Attendance_Table[[#This Row],[session_id]],Sessions_Table[session_id],Sessions_Table[session_date]))=MONTH(MAX(Sessions_Table[session_date])),"Yes","No")</f>
        <v>No</v>
      </c>
    </row>
    <row r="29" spans="1:4" x14ac:dyDescent="0.25">
      <c r="A29">
        <v>7</v>
      </c>
      <c r="B29">
        <v>1029</v>
      </c>
      <c r="C29">
        <v>1</v>
      </c>
      <c r="D29" s="19" t="str">
        <f>IF(MONTH(_xlfn.XLOOKUP(Attendance_Table[[#This Row],[session_id]],Sessions_Table[session_id],Sessions_Table[session_date]))=MONTH(MAX(Sessions_Table[session_date])),"Yes","No")</f>
        <v>No</v>
      </c>
    </row>
    <row r="30" spans="1:4" x14ac:dyDescent="0.25">
      <c r="A30">
        <v>8</v>
      </c>
      <c r="B30">
        <v>1010</v>
      </c>
      <c r="C30">
        <v>1</v>
      </c>
      <c r="D30" s="19" t="str">
        <f>IF(MONTH(_xlfn.XLOOKUP(Attendance_Table[[#This Row],[session_id]],Sessions_Table[session_id],Sessions_Table[session_date]))=MONTH(MAX(Sessions_Table[session_date])),"Yes","No")</f>
        <v>No</v>
      </c>
    </row>
    <row r="31" spans="1:4" x14ac:dyDescent="0.25">
      <c r="A31">
        <v>8</v>
      </c>
      <c r="B31">
        <v>1020</v>
      </c>
      <c r="C31">
        <v>0</v>
      </c>
      <c r="D31" s="19" t="str">
        <f>IF(MONTH(_xlfn.XLOOKUP(Attendance_Table[[#This Row],[session_id]],Sessions_Table[session_id],Sessions_Table[session_date]))=MONTH(MAX(Sessions_Table[session_date])),"Yes","No")</f>
        <v>No</v>
      </c>
    </row>
    <row r="32" spans="1:4" x14ac:dyDescent="0.25">
      <c r="A32">
        <v>8</v>
      </c>
      <c r="B32">
        <v>1027</v>
      </c>
      <c r="C32">
        <v>1</v>
      </c>
      <c r="D32" s="19" t="str">
        <f>IF(MONTH(_xlfn.XLOOKUP(Attendance_Table[[#This Row],[session_id]],Sessions_Table[session_id],Sessions_Table[session_date]))=MONTH(MAX(Sessions_Table[session_date])),"Yes","No")</f>
        <v>No</v>
      </c>
    </row>
    <row r="33" spans="1:4" x14ac:dyDescent="0.25">
      <c r="A33">
        <v>8</v>
      </c>
      <c r="B33">
        <v>1029</v>
      </c>
      <c r="C33">
        <v>1</v>
      </c>
      <c r="D33" s="19" t="str">
        <f>IF(MONTH(_xlfn.XLOOKUP(Attendance_Table[[#This Row],[session_id]],Sessions_Table[session_id],Sessions_Table[session_date]))=MONTH(MAX(Sessions_Table[session_date])),"Yes","No")</f>
        <v>No</v>
      </c>
    </row>
    <row r="34" spans="1:4" x14ac:dyDescent="0.25">
      <c r="A34">
        <v>9</v>
      </c>
      <c r="B34">
        <v>1010</v>
      </c>
      <c r="C34">
        <v>1</v>
      </c>
      <c r="D34" s="19" t="str">
        <f>IF(MONTH(_xlfn.XLOOKUP(Attendance_Table[[#This Row],[session_id]],Sessions_Table[session_id],Sessions_Table[session_date]))=MONTH(MAX(Sessions_Table[session_date])),"Yes","No")</f>
        <v>No</v>
      </c>
    </row>
    <row r="35" spans="1:4" x14ac:dyDescent="0.25">
      <c r="A35">
        <v>9</v>
      </c>
      <c r="B35">
        <v>1020</v>
      </c>
      <c r="C35">
        <v>1</v>
      </c>
      <c r="D35" s="19" t="str">
        <f>IF(MONTH(_xlfn.XLOOKUP(Attendance_Table[[#This Row],[session_id]],Sessions_Table[session_id],Sessions_Table[session_date]))=MONTH(MAX(Sessions_Table[session_date])),"Yes","No")</f>
        <v>No</v>
      </c>
    </row>
    <row r="36" spans="1:4" x14ac:dyDescent="0.25">
      <c r="A36">
        <v>9</v>
      </c>
      <c r="B36">
        <v>1027</v>
      </c>
      <c r="C36">
        <v>1</v>
      </c>
      <c r="D36" s="19" t="str">
        <f>IF(MONTH(_xlfn.XLOOKUP(Attendance_Table[[#This Row],[session_id]],Sessions_Table[session_id],Sessions_Table[session_date]))=MONTH(MAX(Sessions_Table[session_date])),"Yes","No")</f>
        <v>No</v>
      </c>
    </row>
    <row r="37" spans="1:4" x14ac:dyDescent="0.25">
      <c r="A37">
        <v>9</v>
      </c>
      <c r="B37">
        <v>1029</v>
      </c>
      <c r="C37">
        <v>1</v>
      </c>
      <c r="D37" s="19" t="str">
        <f>IF(MONTH(_xlfn.XLOOKUP(Attendance_Table[[#This Row],[session_id]],Sessions_Table[session_id],Sessions_Table[session_date]))=MONTH(MAX(Sessions_Table[session_date])),"Yes","No")</f>
        <v>No</v>
      </c>
    </row>
    <row r="38" spans="1:4" x14ac:dyDescent="0.25">
      <c r="A38">
        <v>10</v>
      </c>
      <c r="B38">
        <v>1010</v>
      </c>
      <c r="C38">
        <v>1</v>
      </c>
      <c r="D38" s="19" t="str">
        <f>IF(MONTH(_xlfn.XLOOKUP(Attendance_Table[[#This Row],[session_id]],Sessions_Table[session_id],Sessions_Table[session_date]))=MONTH(MAX(Sessions_Table[session_date])),"Yes","No")</f>
        <v>No</v>
      </c>
    </row>
    <row r="39" spans="1:4" x14ac:dyDescent="0.25">
      <c r="A39">
        <v>10</v>
      </c>
      <c r="B39">
        <v>1020</v>
      </c>
      <c r="C39">
        <v>1</v>
      </c>
      <c r="D39" s="19" t="str">
        <f>IF(MONTH(_xlfn.XLOOKUP(Attendance_Table[[#This Row],[session_id]],Sessions_Table[session_id],Sessions_Table[session_date]))=MONTH(MAX(Sessions_Table[session_date])),"Yes","No")</f>
        <v>No</v>
      </c>
    </row>
    <row r="40" spans="1:4" x14ac:dyDescent="0.25">
      <c r="A40">
        <v>10</v>
      </c>
      <c r="B40">
        <v>1027</v>
      </c>
      <c r="C40">
        <v>1</v>
      </c>
      <c r="D40" s="19" t="str">
        <f>IF(MONTH(_xlfn.XLOOKUP(Attendance_Table[[#This Row],[session_id]],Sessions_Table[session_id],Sessions_Table[session_date]))=MONTH(MAX(Sessions_Table[session_date])),"Yes","No")</f>
        <v>No</v>
      </c>
    </row>
    <row r="41" spans="1:4" x14ac:dyDescent="0.25">
      <c r="A41">
        <v>10</v>
      </c>
      <c r="B41">
        <v>1029</v>
      </c>
      <c r="C41">
        <v>1</v>
      </c>
      <c r="D41" s="19" t="str">
        <f>IF(MONTH(_xlfn.XLOOKUP(Attendance_Table[[#This Row],[session_id]],Sessions_Table[session_id],Sessions_Table[session_date]))=MONTH(MAX(Sessions_Table[session_date])),"Yes","No")</f>
        <v>No</v>
      </c>
    </row>
    <row r="42" spans="1:4" x14ac:dyDescent="0.25">
      <c r="A42">
        <v>11</v>
      </c>
      <c r="B42">
        <v>1010</v>
      </c>
      <c r="C42">
        <v>1</v>
      </c>
      <c r="D42" s="19" t="str">
        <f>IF(MONTH(_xlfn.XLOOKUP(Attendance_Table[[#This Row],[session_id]],Sessions_Table[session_id],Sessions_Table[session_date]))=MONTH(MAX(Sessions_Table[session_date])),"Yes","No")</f>
        <v>No</v>
      </c>
    </row>
    <row r="43" spans="1:4" x14ac:dyDescent="0.25">
      <c r="A43">
        <v>11</v>
      </c>
      <c r="B43">
        <v>1020</v>
      </c>
      <c r="C43">
        <v>1</v>
      </c>
      <c r="D43" s="19" t="str">
        <f>IF(MONTH(_xlfn.XLOOKUP(Attendance_Table[[#This Row],[session_id]],Sessions_Table[session_id],Sessions_Table[session_date]))=MONTH(MAX(Sessions_Table[session_date])),"Yes","No")</f>
        <v>No</v>
      </c>
    </row>
    <row r="44" spans="1:4" x14ac:dyDescent="0.25">
      <c r="A44">
        <v>11</v>
      </c>
      <c r="B44">
        <v>1027</v>
      </c>
      <c r="C44">
        <v>1</v>
      </c>
      <c r="D44" s="19" t="str">
        <f>IF(MONTH(_xlfn.XLOOKUP(Attendance_Table[[#This Row],[session_id]],Sessions_Table[session_id],Sessions_Table[session_date]))=MONTH(MAX(Sessions_Table[session_date])),"Yes","No")</f>
        <v>No</v>
      </c>
    </row>
    <row r="45" spans="1:4" x14ac:dyDescent="0.25">
      <c r="A45">
        <v>11</v>
      </c>
      <c r="B45">
        <v>1029</v>
      </c>
      <c r="C45">
        <v>1</v>
      </c>
      <c r="D45" s="19" t="str">
        <f>IF(MONTH(_xlfn.XLOOKUP(Attendance_Table[[#This Row],[session_id]],Sessions_Table[session_id],Sessions_Table[session_date]))=MONTH(MAX(Sessions_Table[session_date])),"Yes","No")</f>
        <v>No</v>
      </c>
    </row>
    <row r="46" spans="1:4" x14ac:dyDescent="0.25">
      <c r="A46">
        <v>12</v>
      </c>
      <c r="B46">
        <v>1010</v>
      </c>
      <c r="C46">
        <v>1</v>
      </c>
      <c r="D46" s="19" t="str">
        <f>IF(MONTH(_xlfn.XLOOKUP(Attendance_Table[[#This Row],[session_id]],Sessions_Table[session_id],Sessions_Table[session_date]))=MONTH(MAX(Sessions_Table[session_date])),"Yes","No")</f>
        <v>No</v>
      </c>
    </row>
    <row r="47" spans="1:4" x14ac:dyDescent="0.25">
      <c r="A47">
        <v>12</v>
      </c>
      <c r="B47">
        <v>1020</v>
      </c>
      <c r="C47">
        <v>1</v>
      </c>
      <c r="D47" s="19" t="str">
        <f>IF(MONTH(_xlfn.XLOOKUP(Attendance_Table[[#This Row],[session_id]],Sessions_Table[session_id],Sessions_Table[session_date]))=MONTH(MAX(Sessions_Table[session_date])),"Yes","No")</f>
        <v>No</v>
      </c>
    </row>
    <row r="48" spans="1:4" x14ac:dyDescent="0.25">
      <c r="A48">
        <v>12</v>
      </c>
      <c r="B48">
        <v>1027</v>
      </c>
      <c r="C48">
        <v>1</v>
      </c>
      <c r="D48" s="19" t="str">
        <f>IF(MONTH(_xlfn.XLOOKUP(Attendance_Table[[#This Row],[session_id]],Sessions_Table[session_id],Sessions_Table[session_date]))=MONTH(MAX(Sessions_Table[session_date])),"Yes","No")</f>
        <v>No</v>
      </c>
    </row>
    <row r="49" spans="1:4" x14ac:dyDescent="0.25">
      <c r="A49">
        <v>12</v>
      </c>
      <c r="B49">
        <v>1029</v>
      </c>
      <c r="C49">
        <v>1</v>
      </c>
      <c r="D49" s="19" t="str">
        <f>IF(MONTH(_xlfn.XLOOKUP(Attendance_Table[[#This Row],[session_id]],Sessions_Table[session_id],Sessions_Table[session_date]))=MONTH(MAX(Sessions_Table[session_date])),"Yes","No")</f>
        <v>No</v>
      </c>
    </row>
    <row r="50" spans="1:4" x14ac:dyDescent="0.25">
      <c r="A50">
        <v>13</v>
      </c>
      <c r="B50">
        <v>1006</v>
      </c>
      <c r="C50">
        <v>1</v>
      </c>
      <c r="D50" s="19" t="str">
        <f>IF(MONTH(_xlfn.XLOOKUP(Attendance_Table[[#This Row],[session_id]],Sessions_Table[session_id],Sessions_Table[session_date]))=MONTH(MAX(Sessions_Table[session_date])),"Yes","No")</f>
        <v>No</v>
      </c>
    </row>
    <row r="51" spans="1:4" x14ac:dyDescent="0.25">
      <c r="A51">
        <v>13</v>
      </c>
      <c r="B51">
        <v>1007</v>
      </c>
      <c r="C51">
        <v>1</v>
      </c>
      <c r="D51" s="19" t="str">
        <f>IF(MONTH(_xlfn.XLOOKUP(Attendance_Table[[#This Row],[session_id]],Sessions_Table[session_id],Sessions_Table[session_date]))=MONTH(MAX(Sessions_Table[session_date])),"Yes","No")</f>
        <v>No</v>
      </c>
    </row>
    <row r="52" spans="1:4" x14ac:dyDescent="0.25">
      <c r="A52">
        <v>13</v>
      </c>
      <c r="B52">
        <v>1016</v>
      </c>
      <c r="C52">
        <v>1</v>
      </c>
      <c r="D52" s="19" t="str">
        <f>IF(MONTH(_xlfn.XLOOKUP(Attendance_Table[[#This Row],[session_id]],Sessions_Table[session_id],Sessions_Table[session_date]))=MONTH(MAX(Sessions_Table[session_date])),"Yes","No")</f>
        <v>No</v>
      </c>
    </row>
    <row r="53" spans="1:4" x14ac:dyDescent="0.25">
      <c r="A53">
        <v>13</v>
      </c>
      <c r="B53">
        <v>1017</v>
      </c>
      <c r="C53">
        <v>1</v>
      </c>
      <c r="D53" s="19" t="str">
        <f>IF(MONTH(_xlfn.XLOOKUP(Attendance_Table[[#This Row],[session_id]],Sessions_Table[session_id],Sessions_Table[session_date]))=MONTH(MAX(Sessions_Table[session_date])),"Yes","No")</f>
        <v>No</v>
      </c>
    </row>
    <row r="54" spans="1:4" x14ac:dyDescent="0.25">
      <c r="A54">
        <v>13</v>
      </c>
      <c r="B54">
        <v>1030</v>
      </c>
      <c r="C54">
        <v>1</v>
      </c>
      <c r="D54" s="19" t="str">
        <f>IF(MONTH(_xlfn.XLOOKUP(Attendance_Table[[#This Row],[session_id]],Sessions_Table[session_id],Sessions_Table[session_date]))=MONTH(MAX(Sessions_Table[session_date])),"Yes","No")</f>
        <v>No</v>
      </c>
    </row>
    <row r="55" spans="1:4" x14ac:dyDescent="0.25">
      <c r="A55">
        <v>14</v>
      </c>
      <c r="B55">
        <v>1006</v>
      </c>
      <c r="C55">
        <v>1</v>
      </c>
      <c r="D55" s="19" t="str">
        <f>IF(MONTH(_xlfn.XLOOKUP(Attendance_Table[[#This Row],[session_id]],Sessions_Table[session_id],Sessions_Table[session_date]))=MONTH(MAX(Sessions_Table[session_date])),"Yes","No")</f>
        <v>No</v>
      </c>
    </row>
    <row r="56" spans="1:4" x14ac:dyDescent="0.25">
      <c r="A56">
        <v>14</v>
      </c>
      <c r="B56">
        <v>1007</v>
      </c>
      <c r="C56">
        <v>1</v>
      </c>
      <c r="D56" s="19" t="str">
        <f>IF(MONTH(_xlfn.XLOOKUP(Attendance_Table[[#This Row],[session_id]],Sessions_Table[session_id],Sessions_Table[session_date]))=MONTH(MAX(Sessions_Table[session_date])),"Yes","No")</f>
        <v>No</v>
      </c>
    </row>
    <row r="57" spans="1:4" x14ac:dyDescent="0.25">
      <c r="A57">
        <v>14</v>
      </c>
      <c r="B57">
        <v>1016</v>
      </c>
      <c r="C57">
        <v>0</v>
      </c>
      <c r="D57" s="19" t="str">
        <f>IF(MONTH(_xlfn.XLOOKUP(Attendance_Table[[#This Row],[session_id]],Sessions_Table[session_id],Sessions_Table[session_date]))=MONTH(MAX(Sessions_Table[session_date])),"Yes","No")</f>
        <v>No</v>
      </c>
    </row>
    <row r="58" spans="1:4" x14ac:dyDescent="0.25">
      <c r="A58">
        <v>14</v>
      </c>
      <c r="B58">
        <v>1017</v>
      </c>
      <c r="C58">
        <v>1</v>
      </c>
      <c r="D58" s="19" t="str">
        <f>IF(MONTH(_xlfn.XLOOKUP(Attendance_Table[[#This Row],[session_id]],Sessions_Table[session_id],Sessions_Table[session_date]))=MONTH(MAX(Sessions_Table[session_date])),"Yes","No")</f>
        <v>No</v>
      </c>
    </row>
    <row r="59" spans="1:4" x14ac:dyDescent="0.25">
      <c r="A59">
        <v>14</v>
      </c>
      <c r="B59">
        <v>1030</v>
      </c>
      <c r="C59">
        <v>1</v>
      </c>
      <c r="D59" s="19" t="str">
        <f>IF(MONTH(_xlfn.XLOOKUP(Attendance_Table[[#This Row],[session_id]],Sessions_Table[session_id],Sessions_Table[session_date]))=MONTH(MAX(Sessions_Table[session_date])),"Yes","No")</f>
        <v>No</v>
      </c>
    </row>
    <row r="60" spans="1:4" x14ac:dyDescent="0.25">
      <c r="A60">
        <v>15</v>
      </c>
      <c r="B60">
        <v>1006</v>
      </c>
      <c r="C60">
        <v>1</v>
      </c>
      <c r="D60" s="19" t="str">
        <f>IF(MONTH(_xlfn.XLOOKUP(Attendance_Table[[#This Row],[session_id]],Sessions_Table[session_id],Sessions_Table[session_date]))=MONTH(MAX(Sessions_Table[session_date])),"Yes","No")</f>
        <v>No</v>
      </c>
    </row>
    <row r="61" spans="1:4" x14ac:dyDescent="0.25">
      <c r="A61">
        <v>15</v>
      </c>
      <c r="B61">
        <v>1007</v>
      </c>
      <c r="C61">
        <v>1</v>
      </c>
      <c r="D61" s="19" t="str">
        <f>IF(MONTH(_xlfn.XLOOKUP(Attendance_Table[[#This Row],[session_id]],Sessions_Table[session_id],Sessions_Table[session_date]))=MONTH(MAX(Sessions_Table[session_date])),"Yes","No")</f>
        <v>No</v>
      </c>
    </row>
    <row r="62" spans="1:4" x14ac:dyDescent="0.25">
      <c r="A62">
        <v>15</v>
      </c>
      <c r="B62">
        <v>1016</v>
      </c>
      <c r="C62">
        <v>1</v>
      </c>
      <c r="D62" s="19" t="str">
        <f>IF(MONTH(_xlfn.XLOOKUP(Attendance_Table[[#This Row],[session_id]],Sessions_Table[session_id],Sessions_Table[session_date]))=MONTH(MAX(Sessions_Table[session_date])),"Yes","No")</f>
        <v>No</v>
      </c>
    </row>
    <row r="63" spans="1:4" x14ac:dyDescent="0.25">
      <c r="A63">
        <v>15</v>
      </c>
      <c r="B63">
        <v>1017</v>
      </c>
      <c r="C63">
        <v>1</v>
      </c>
      <c r="D63" s="19" t="str">
        <f>IF(MONTH(_xlfn.XLOOKUP(Attendance_Table[[#This Row],[session_id]],Sessions_Table[session_id],Sessions_Table[session_date]))=MONTH(MAX(Sessions_Table[session_date])),"Yes","No")</f>
        <v>No</v>
      </c>
    </row>
    <row r="64" spans="1:4" x14ac:dyDescent="0.25">
      <c r="A64">
        <v>15</v>
      </c>
      <c r="B64">
        <v>1030</v>
      </c>
      <c r="C64">
        <v>1</v>
      </c>
      <c r="D64" s="19" t="str">
        <f>IF(MONTH(_xlfn.XLOOKUP(Attendance_Table[[#This Row],[session_id]],Sessions_Table[session_id],Sessions_Table[session_date]))=MONTH(MAX(Sessions_Table[session_date])),"Yes","No")</f>
        <v>No</v>
      </c>
    </row>
    <row r="65" spans="1:4" x14ac:dyDescent="0.25">
      <c r="A65">
        <v>16</v>
      </c>
      <c r="B65">
        <v>1006</v>
      </c>
      <c r="C65">
        <v>1</v>
      </c>
      <c r="D65" s="19" t="str">
        <f>IF(MONTH(_xlfn.XLOOKUP(Attendance_Table[[#This Row],[session_id]],Sessions_Table[session_id],Sessions_Table[session_date]))=MONTH(MAX(Sessions_Table[session_date])),"Yes","No")</f>
        <v>No</v>
      </c>
    </row>
    <row r="66" spans="1:4" x14ac:dyDescent="0.25">
      <c r="A66">
        <v>16</v>
      </c>
      <c r="B66">
        <v>1007</v>
      </c>
      <c r="C66">
        <v>0</v>
      </c>
      <c r="D66" s="19" t="str">
        <f>IF(MONTH(_xlfn.XLOOKUP(Attendance_Table[[#This Row],[session_id]],Sessions_Table[session_id],Sessions_Table[session_date]))=MONTH(MAX(Sessions_Table[session_date])),"Yes","No")</f>
        <v>No</v>
      </c>
    </row>
    <row r="67" spans="1:4" x14ac:dyDescent="0.25">
      <c r="A67">
        <v>16</v>
      </c>
      <c r="B67">
        <v>1016</v>
      </c>
      <c r="C67">
        <v>1</v>
      </c>
      <c r="D67" s="19" t="str">
        <f>IF(MONTH(_xlfn.XLOOKUP(Attendance_Table[[#This Row],[session_id]],Sessions_Table[session_id],Sessions_Table[session_date]))=MONTH(MAX(Sessions_Table[session_date])),"Yes","No")</f>
        <v>No</v>
      </c>
    </row>
    <row r="68" spans="1:4" x14ac:dyDescent="0.25">
      <c r="A68">
        <v>16</v>
      </c>
      <c r="B68">
        <v>1017</v>
      </c>
      <c r="C68">
        <v>1</v>
      </c>
      <c r="D68" s="19" t="str">
        <f>IF(MONTH(_xlfn.XLOOKUP(Attendance_Table[[#This Row],[session_id]],Sessions_Table[session_id],Sessions_Table[session_date]))=MONTH(MAX(Sessions_Table[session_date])),"Yes","No")</f>
        <v>No</v>
      </c>
    </row>
    <row r="69" spans="1:4" x14ac:dyDescent="0.25">
      <c r="A69">
        <v>16</v>
      </c>
      <c r="B69">
        <v>1030</v>
      </c>
      <c r="C69">
        <v>1</v>
      </c>
      <c r="D69" s="19" t="str">
        <f>IF(MONTH(_xlfn.XLOOKUP(Attendance_Table[[#This Row],[session_id]],Sessions_Table[session_id],Sessions_Table[session_date]))=MONTH(MAX(Sessions_Table[session_date])),"Yes","No")</f>
        <v>No</v>
      </c>
    </row>
    <row r="70" spans="1:4" x14ac:dyDescent="0.25">
      <c r="A70">
        <v>17</v>
      </c>
      <c r="B70">
        <v>1006</v>
      </c>
      <c r="C70">
        <v>1</v>
      </c>
      <c r="D70" s="19" t="str">
        <f>IF(MONTH(_xlfn.XLOOKUP(Attendance_Table[[#This Row],[session_id]],Sessions_Table[session_id],Sessions_Table[session_date]))=MONTH(MAX(Sessions_Table[session_date])),"Yes","No")</f>
        <v>No</v>
      </c>
    </row>
    <row r="71" spans="1:4" x14ac:dyDescent="0.25">
      <c r="A71">
        <v>17</v>
      </c>
      <c r="B71">
        <v>1007</v>
      </c>
      <c r="C71">
        <v>1</v>
      </c>
      <c r="D71" s="19" t="str">
        <f>IF(MONTH(_xlfn.XLOOKUP(Attendance_Table[[#This Row],[session_id]],Sessions_Table[session_id],Sessions_Table[session_date]))=MONTH(MAX(Sessions_Table[session_date])),"Yes","No")</f>
        <v>No</v>
      </c>
    </row>
    <row r="72" spans="1:4" x14ac:dyDescent="0.25">
      <c r="A72">
        <v>17</v>
      </c>
      <c r="B72">
        <v>1016</v>
      </c>
      <c r="C72">
        <v>0</v>
      </c>
      <c r="D72" s="19" t="str">
        <f>IF(MONTH(_xlfn.XLOOKUP(Attendance_Table[[#This Row],[session_id]],Sessions_Table[session_id],Sessions_Table[session_date]))=MONTH(MAX(Sessions_Table[session_date])),"Yes","No")</f>
        <v>No</v>
      </c>
    </row>
    <row r="73" spans="1:4" x14ac:dyDescent="0.25">
      <c r="A73">
        <v>17</v>
      </c>
      <c r="B73">
        <v>1017</v>
      </c>
      <c r="C73">
        <v>1</v>
      </c>
      <c r="D73" s="19" t="str">
        <f>IF(MONTH(_xlfn.XLOOKUP(Attendance_Table[[#This Row],[session_id]],Sessions_Table[session_id],Sessions_Table[session_date]))=MONTH(MAX(Sessions_Table[session_date])),"Yes","No")</f>
        <v>No</v>
      </c>
    </row>
    <row r="74" spans="1:4" x14ac:dyDescent="0.25">
      <c r="A74">
        <v>17</v>
      </c>
      <c r="B74">
        <v>1030</v>
      </c>
      <c r="C74">
        <v>0</v>
      </c>
      <c r="D74" s="19" t="str">
        <f>IF(MONTH(_xlfn.XLOOKUP(Attendance_Table[[#This Row],[session_id]],Sessions_Table[session_id],Sessions_Table[session_date]))=MONTH(MAX(Sessions_Table[session_date])),"Yes","No")</f>
        <v>No</v>
      </c>
    </row>
    <row r="75" spans="1:4" x14ac:dyDescent="0.25">
      <c r="A75">
        <v>18</v>
      </c>
      <c r="B75">
        <v>1006</v>
      </c>
      <c r="C75">
        <v>1</v>
      </c>
      <c r="D75" s="19" t="str">
        <f>IF(MONTH(_xlfn.XLOOKUP(Attendance_Table[[#This Row],[session_id]],Sessions_Table[session_id],Sessions_Table[session_date]))=MONTH(MAX(Sessions_Table[session_date])),"Yes","No")</f>
        <v>No</v>
      </c>
    </row>
    <row r="76" spans="1:4" x14ac:dyDescent="0.25">
      <c r="A76">
        <v>18</v>
      </c>
      <c r="B76">
        <v>1007</v>
      </c>
      <c r="C76">
        <v>1</v>
      </c>
      <c r="D76" s="19" t="str">
        <f>IF(MONTH(_xlfn.XLOOKUP(Attendance_Table[[#This Row],[session_id]],Sessions_Table[session_id],Sessions_Table[session_date]))=MONTH(MAX(Sessions_Table[session_date])),"Yes","No")</f>
        <v>No</v>
      </c>
    </row>
    <row r="77" spans="1:4" x14ac:dyDescent="0.25">
      <c r="A77">
        <v>18</v>
      </c>
      <c r="B77">
        <v>1016</v>
      </c>
      <c r="C77">
        <v>1</v>
      </c>
      <c r="D77" s="19" t="str">
        <f>IF(MONTH(_xlfn.XLOOKUP(Attendance_Table[[#This Row],[session_id]],Sessions_Table[session_id],Sessions_Table[session_date]))=MONTH(MAX(Sessions_Table[session_date])),"Yes","No")</f>
        <v>No</v>
      </c>
    </row>
    <row r="78" spans="1:4" x14ac:dyDescent="0.25">
      <c r="A78">
        <v>18</v>
      </c>
      <c r="B78">
        <v>1017</v>
      </c>
      <c r="C78">
        <v>1</v>
      </c>
      <c r="D78" s="19" t="str">
        <f>IF(MONTH(_xlfn.XLOOKUP(Attendance_Table[[#This Row],[session_id]],Sessions_Table[session_id],Sessions_Table[session_date]))=MONTH(MAX(Sessions_Table[session_date])),"Yes","No")</f>
        <v>No</v>
      </c>
    </row>
    <row r="79" spans="1:4" x14ac:dyDescent="0.25">
      <c r="A79">
        <v>18</v>
      </c>
      <c r="B79">
        <v>1030</v>
      </c>
      <c r="C79">
        <v>1</v>
      </c>
      <c r="D79" s="19" t="str">
        <f>IF(MONTH(_xlfn.XLOOKUP(Attendance_Table[[#This Row],[session_id]],Sessions_Table[session_id],Sessions_Table[session_date]))=MONTH(MAX(Sessions_Table[session_date])),"Yes","No")</f>
        <v>No</v>
      </c>
    </row>
    <row r="80" spans="1:4" x14ac:dyDescent="0.25">
      <c r="A80">
        <v>19</v>
      </c>
      <c r="B80">
        <v>1006</v>
      </c>
      <c r="C80">
        <v>1</v>
      </c>
      <c r="D80" s="19" t="str">
        <f>IF(MONTH(_xlfn.XLOOKUP(Attendance_Table[[#This Row],[session_id]],Sessions_Table[session_id],Sessions_Table[session_date]))=MONTH(MAX(Sessions_Table[session_date])),"Yes","No")</f>
        <v>No</v>
      </c>
    </row>
    <row r="81" spans="1:4" x14ac:dyDescent="0.25">
      <c r="A81">
        <v>19</v>
      </c>
      <c r="B81">
        <v>1007</v>
      </c>
      <c r="C81">
        <v>0</v>
      </c>
      <c r="D81" s="19" t="str">
        <f>IF(MONTH(_xlfn.XLOOKUP(Attendance_Table[[#This Row],[session_id]],Sessions_Table[session_id],Sessions_Table[session_date]))=MONTH(MAX(Sessions_Table[session_date])),"Yes","No")</f>
        <v>No</v>
      </c>
    </row>
    <row r="82" spans="1:4" x14ac:dyDescent="0.25">
      <c r="A82">
        <v>19</v>
      </c>
      <c r="B82">
        <v>1016</v>
      </c>
      <c r="C82">
        <v>1</v>
      </c>
      <c r="D82" s="19" t="str">
        <f>IF(MONTH(_xlfn.XLOOKUP(Attendance_Table[[#This Row],[session_id]],Sessions_Table[session_id],Sessions_Table[session_date]))=MONTH(MAX(Sessions_Table[session_date])),"Yes","No")</f>
        <v>No</v>
      </c>
    </row>
    <row r="83" spans="1:4" x14ac:dyDescent="0.25">
      <c r="A83">
        <v>19</v>
      </c>
      <c r="B83">
        <v>1017</v>
      </c>
      <c r="C83">
        <v>1</v>
      </c>
      <c r="D83" s="19" t="str">
        <f>IF(MONTH(_xlfn.XLOOKUP(Attendance_Table[[#This Row],[session_id]],Sessions_Table[session_id],Sessions_Table[session_date]))=MONTH(MAX(Sessions_Table[session_date])),"Yes","No")</f>
        <v>No</v>
      </c>
    </row>
    <row r="84" spans="1:4" x14ac:dyDescent="0.25">
      <c r="A84">
        <v>19</v>
      </c>
      <c r="B84">
        <v>1030</v>
      </c>
      <c r="C84">
        <v>1</v>
      </c>
      <c r="D84" s="19" t="str">
        <f>IF(MONTH(_xlfn.XLOOKUP(Attendance_Table[[#This Row],[session_id]],Sessions_Table[session_id],Sessions_Table[session_date]))=MONTH(MAX(Sessions_Table[session_date])),"Yes","No")</f>
        <v>No</v>
      </c>
    </row>
    <row r="85" spans="1:4" x14ac:dyDescent="0.25">
      <c r="A85">
        <v>20</v>
      </c>
      <c r="B85">
        <v>1006</v>
      </c>
      <c r="C85">
        <v>1</v>
      </c>
      <c r="D85" s="19" t="str">
        <f>IF(MONTH(_xlfn.XLOOKUP(Attendance_Table[[#This Row],[session_id]],Sessions_Table[session_id],Sessions_Table[session_date]))=MONTH(MAX(Sessions_Table[session_date])),"Yes","No")</f>
        <v>No</v>
      </c>
    </row>
    <row r="86" spans="1:4" x14ac:dyDescent="0.25">
      <c r="A86">
        <v>20</v>
      </c>
      <c r="B86">
        <v>1007</v>
      </c>
      <c r="C86">
        <v>1</v>
      </c>
      <c r="D86" s="19" t="str">
        <f>IF(MONTH(_xlfn.XLOOKUP(Attendance_Table[[#This Row],[session_id]],Sessions_Table[session_id],Sessions_Table[session_date]))=MONTH(MAX(Sessions_Table[session_date])),"Yes","No")</f>
        <v>No</v>
      </c>
    </row>
    <row r="87" spans="1:4" x14ac:dyDescent="0.25">
      <c r="A87">
        <v>20</v>
      </c>
      <c r="B87">
        <v>1016</v>
      </c>
      <c r="C87">
        <v>1</v>
      </c>
      <c r="D87" s="19" t="str">
        <f>IF(MONTH(_xlfn.XLOOKUP(Attendance_Table[[#This Row],[session_id]],Sessions_Table[session_id],Sessions_Table[session_date]))=MONTH(MAX(Sessions_Table[session_date])),"Yes","No")</f>
        <v>No</v>
      </c>
    </row>
    <row r="88" spans="1:4" x14ac:dyDescent="0.25">
      <c r="A88">
        <v>20</v>
      </c>
      <c r="B88">
        <v>1017</v>
      </c>
      <c r="C88">
        <v>1</v>
      </c>
      <c r="D88" s="19" t="str">
        <f>IF(MONTH(_xlfn.XLOOKUP(Attendance_Table[[#This Row],[session_id]],Sessions_Table[session_id],Sessions_Table[session_date]))=MONTH(MAX(Sessions_Table[session_date])),"Yes","No")</f>
        <v>No</v>
      </c>
    </row>
    <row r="89" spans="1:4" x14ac:dyDescent="0.25">
      <c r="A89">
        <v>20</v>
      </c>
      <c r="B89">
        <v>1030</v>
      </c>
      <c r="C89">
        <v>1</v>
      </c>
      <c r="D89" s="19" t="str">
        <f>IF(MONTH(_xlfn.XLOOKUP(Attendance_Table[[#This Row],[session_id]],Sessions_Table[session_id],Sessions_Table[session_date]))=MONTH(MAX(Sessions_Table[session_date])),"Yes","No")</f>
        <v>No</v>
      </c>
    </row>
    <row r="90" spans="1:4" x14ac:dyDescent="0.25">
      <c r="A90">
        <v>21</v>
      </c>
      <c r="B90">
        <v>1006</v>
      </c>
      <c r="C90">
        <v>1</v>
      </c>
      <c r="D90" s="19" t="str">
        <f>IF(MONTH(_xlfn.XLOOKUP(Attendance_Table[[#This Row],[session_id]],Sessions_Table[session_id],Sessions_Table[session_date]))=MONTH(MAX(Sessions_Table[session_date])),"Yes","No")</f>
        <v>No</v>
      </c>
    </row>
    <row r="91" spans="1:4" x14ac:dyDescent="0.25">
      <c r="A91">
        <v>21</v>
      </c>
      <c r="B91">
        <v>1007</v>
      </c>
      <c r="C91">
        <v>1</v>
      </c>
      <c r="D91" s="19" t="str">
        <f>IF(MONTH(_xlfn.XLOOKUP(Attendance_Table[[#This Row],[session_id]],Sessions_Table[session_id],Sessions_Table[session_date]))=MONTH(MAX(Sessions_Table[session_date])),"Yes","No")</f>
        <v>No</v>
      </c>
    </row>
    <row r="92" spans="1:4" x14ac:dyDescent="0.25">
      <c r="A92">
        <v>21</v>
      </c>
      <c r="B92">
        <v>1016</v>
      </c>
      <c r="C92">
        <v>1</v>
      </c>
      <c r="D92" s="19" t="str">
        <f>IF(MONTH(_xlfn.XLOOKUP(Attendance_Table[[#This Row],[session_id]],Sessions_Table[session_id],Sessions_Table[session_date]))=MONTH(MAX(Sessions_Table[session_date])),"Yes","No")</f>
        <v>No</v>
      </c>
    </row>
    <row r="93" spans="1:4" x14ac:dyDescent="0.25">
      <c r="A93">
        <v>21</v>
      </c>
      <c r="B93">
        <v>1017</v>
      </c>
      <c r="C93">
        <v>0</v>
      </c>
      <c r="D93" s="19" t="str">
        <f>IF(MONTH(_xlfn.XLOOKUP(Attendance_Table[[#This Row],[session_id]],Sessions_Table[session_id],Sessions_Table[session_date]))=MONTH(MAX(Sessions_Table[session_date])),"Yes","No")</f>
        <v>No</v>
      </c>
    </row>
    <row r="94" spans="1:4" x14ac:dyDescent="0.25">
      <c r="A94">
        <v>21</v>
      </c>
      <c r="B94">
        <v>1030</v>
      </c>
      <c r="C94">
        <v>1</v>
      </c>
      <c r="D94" s="19" t="str">
        <f>IF(MONTH(_xlfn.XLOOKUP(Attendance_Table[[#This Row],[session_id]],Sessions_Table[session_id],Sessions_Table[session_date]))=MONTH(MAX(Sessions_Table[session_date])),"Yes","No")</f>
        <v>No</v>
      </c>
    </row>
    <row r="95" spans="1:4" x14ac:dyDescent="0.25">
      <c r="A95">
        <v>22</v>
      </c>
      <c r="B95">
        <v>1006</v>
      </c>
      <c r="C95">
        <v>1</v>
      </c>
      <c r="D95" s="19" t="str">
        <f>IF(MONTH(_xlfn.XLOOKUP(Attendance_Table[[#This Row],[session_id]],Sessions_Table[session_id],Sessions_Table[session_date]))=MONTH(MAX(Sessions_Table[session_date])),"Yes","No")</f>
        <v>No</v>
      </c>
    </row>
    <row r="96" spans="1:4" x14ac:dyDescent="0.25">
      <c r="A96">
        <v>22</v>
      </c>
      <c r="B96">
        <v>1007</v>
      </c>
      <c r="C96">
        <v>0</v>
      </c>
      <c r="D96" s="19" t="str">
        <f>IF(MONTH(_xlfn.XLOOKUP(Attendance_Table[[#This Row],[session_id]],Sessions_Table[session_id],Sessions_Table[session_date]))=MONTH(MAX(Sessions_Table[session_date])),"Yes","No")</f>
        <v>No</v>
      </c>
    </row>
    <row r="97" spans="1:4" x14ac:dyDescent="0.25">
      <c r="A97">
        <v>22</v>
      </c>
      <c r="B97">
        <v>1016</v>
      </c>
      <c r="C97">
        <v>1</v>
      </c>
      <c r="D97" s="19" t="str">
        <f>IF(MONTH(_xlfn.XLOOKUP(Attendance_Table[[#This Row],[session_id]],Sessions_Table[session_id],Sessions_Table[session_date]))=MONTH(MAX(Sessions_Table[session_date])),"Yes","No")</f>
        <v>No</v>
      </c>
    </row>
    <row r="98" spans="1:4" x14ac:dyDescent="0.25">
      <c r="A98">
        <v>22</v>
      </c>
      <c r="B98">
        <v>1017</v>
      </c>
      <c r="C98">
        <v>1</v>
      </c>
      <c r="D98" s="19" t="str">
        <f>IF(MONTH(_xlfn.XLOOKUP(Attendance_Table[[#This Row],[session_id]],Sessions_Table[session_id],Sessions_Table[session_date]))=MONTH(MAX(Sessions_Table[session_date])),"Yes","No")</f>
        <v>No</v>
      </c>
    </row>
    <row r="99" spans="1:4" x14ac:dyDescent="0.25">
      <c r="A99">
        <v>22</v>
      </c>
      <c r="B99">
        <v>1030</v>
      </c>
      <c r="C99">
        <v>1</v>
      </c>
      <c r="D99" s="19" t="str">
        <f>IF(MONTH(_xlfn.XLOOKUP(Attendance_Table[[#This Row],[session_id]],Sessions_Table[session_id],Sessions_Table[session_date]))=MONTH(MAX(Sessions_Table[session_date])),"Yes","No")</f>
        <v>No</v>
      </c>
    </row>
    <row r="100" spans="1:4" x14ac:dyDescent="0.25">
      <c r="A100">
        <v>23</v>
      </c>
      <c r="B100">
        <v>1006</v>
      </c>
      <c r="C100">
        <v>1</v>
      </c>
      <c r="D100" s="19" t="str">
        <f>IF(MONTH(_xlfn.XLOOKUP(Attendance_Table[[#This Row],[session_id]],Sessions_Table[session_id],Sessions_Table[session_date]))=MONTH(MAX(Sessions_Table[session_date])),"Yes","No")</f>
        <v>No</v>
      </c>
    </row>
    <row r="101" spans="1:4" x14ac:dyDescent="0.25">
      <c r="A101">
        <v>23</v>
      </c>
      <c r="B101">
        <v>1007</v>
      </c>
      <c r="C101">
        <v>0</v>
      </c>
      <c r="D101" s="19" t="str">
        <f>IF(MONTH(_xlfn.XLOOKUP(Attendance_Table[[#This Row],[session_id]],Sessions_Table[session_id],Sessions_Table[session_date]))=MONTH(MAX(Sessions_Table[session_date])),"Yes","No")</f>
        <v>No</v>
      </c>
    </row>
    <row r="102" spans="1:4" x14ac:dyDescent="0.25">
      <c r="A102">
        <v>23</v>
      </c>
      <c r="B102">
        <v>1016</v>
      </c>
      <c r="C102">
        <v>1</v>
      </c>
      <c r="D102" s="19" t="str">
        <f>IF(MONTH(_xlfn.XLOOKUP(Attendance_Table[[#This Row],[session_id]],Sessions_Table[session_id],Sessions_Table[session_date]))=MONTH(MAX(Sessions_Table[session_date])),"Yes","No")</f>
        <v>No</v>
      </c>
    </row>
    <row r="103" spans="1:4" x14ac:dyDescent="0.25">
      <c r="A103">
        <v>23</v>
      </c>
      <c r="B103">
        <v>1017</v>
      </c>
      <c r="C103">
        <v>1</v>
      </c>
      <c r="D103" s="19" t="str">
        <f>IF(MONTH(_xlfn.XLOOKUP(Attendance_Table[[#This Row],[session_id]],Sessions_Table[session_id],Sessions_Table[session_date]))=MONTH(MAX(Sessions_Table[session_date])),"Yes","No")</f>
        <v>No</v>
      </c>
    </row>
    <row r="104" spans="1:4" x14ac:dyDescent="0.25">
      <c r="A104">
        <v>23</v>
      </c>
      <c r="B104">
        <v>1030</v>
      </c>
      <c r="C104">
        <v>1</v>
      </c>
      <c r="D104" s="19" t="str">
        <f>IF(MONTH(_xlfn.XLOOKUP(Attendance_Table[[#This Row],[session_id]],Sessions_Table[session_id],Sessions_Table[session_date]))=MONTH(MAX(Sessions_Table[session_date])),"Yes","No")</f>
        <v>No</v>
      </c>
    </row>
    <row r="105" spans="1:4" x14ac:dyDescent="0.25">
      <c r="A105">
        <v>24</v>
      </c>
      <c r="B105">
        <v>1006</v>
      </c>
      <c r="C105">
        <v>1</v>
      </c>
      <c r="D105" s="19" t="str">
        <f>IF(MONTH(_xlfn.XLOOKUP(Attendance_Table[[#This Row],[session_id]],Sessions_Table[session_id],Sessions_Table[session_date]))=MONTH(MAX(Sessions_Table[session_date])),"Yes","No")</f>
        <v>No</v>
      </c>
    </row>
    <row r="106" spans="1:4" x14ac:dyDescent="0.25">
      <c r="A106">
        <v>24</v>
      </c>
      <c r="B106">
        <v>1007</v>
      </c>
      <c r="C106">
        <v>1</v>
      </c>
      <c r="D106" s="19" t="str">
        <f>IF(MONTH(_xlfn.XLOOKUP(Attendance_Table[[#This Row],[session_id]],Sessions_Table[session_id],Sessions_Table[session_date]))=MONTH(MAX(Sessions_Table[session_date])),"Yes","No")</f>
        <v>No</v>
      </c>
    </row>
    <row r="107" spans="1:4" x14ac:dyDescent="0.25">
      <c r="A107">
        <v>24</v>
      </c>
      <c r="B107">
        <v>1016</v>
      </c>
      <c r="C107">
        <v>1</v>
      </c>
      <c r="D107" s="19" t="str">
        <f>IF(MONTH(_xlfn.XLOOKUP(Attendance_Table[[#This Row],[session_id]],Sessions_Table[session_id],Sessions_Table[session_date]))=MONTH(MAX(Sessions_Table[session_date])),"Yes","No")</f>
        <v>No</v>
      </c>
    </row>
    <row r="108" spans="1:4" x14ac:dyDescent="0.25">
      <c r="A108">
        <v>24</v>
      </c>
      <c r="B108">
        <v>1017</v>
      </c>
      <c r="C108">
        <v>1</v>
      </c>
      <c r="D108" s="19" t="str">
        <f>IF(MONTH(_xlfn.XLOOKUP(Attendance_Table[[#This Row],[session_id]],Sessions_Table[session_id],Sessions_Table[session_date]))=MONTH(MAX(Sessions_Table[session_date])),"Yes","No")</f>
        <v>No</v>
      </c>
    </row>
    <row r="109" spans="1:4" x14ac:dyDescent="0.25">
      <c r="A109">
        <v>24</v>
      </c>
      <c r="B109">
        <v>1030</v>
      </c>
      <c r="C109">
        <v>1</v>
      </c>
      <c r="D109" s="19" t="str">
        <f>IF(MONTH(_xlfn.XLOOKUP(Attendance_Table[[#This Row],[session_id]],Sessions_Table[session_id],Sessions_Table[session_date]))=MONTH(MAX(Sessions_Table[session_date])),"Yes","No")</f>
        <v>No</v>
      </c>
    </row>
    <row r="110" spans="1:4" x14ac:dyDescent="0.25">
      <c r="A110">
        <v>35</v>
      </c>
      <c r="B110">
        <v>1002</v>
      </c>
      <c r="C110">
        <v>1</v>
      </c>
      <c r="D110" s="19" t="str">
        <f>IF(MONTH(_xlfn.XLOOKUP(Attendance_Table[[#This Row],[session_id]],Sessions_Table[session_id],Sessions_Table[session_date]))=MONTH(MAX(Sessions_Table[session_date])),"Yes","No")</f>
        <v>No</v>
      </c>
    </row>
    <row r="111" spans="1:4" x14ac:dyDescent="0.25">
      <c r="A111">
        <v>35</v>
      </c>
      <c r="B111">
        <v>1013</v>
      </c>
      <c r="C111">
        <v>0</v>
      </c>
      <c r="D111" s="19" t="str">
        <f>IF(MONTH(_xlfn.XLOOKUP(Attendance_Table[[#This Row],[session_id]],Sessions_Table[session_id],Sessions_Table[session_date]))=MONTH(MAX(Sessions_Table[session_date])),"Yes","No")</f>
        <v>No</v>
      </c>
    </row>
    <row r="112" spans="1:4" x14ac:dyDescent="0.25">
      <c r="A112">
        <v>35</v>
      </c>
      <c r="B112">
        <v>1018</v>
      </c>
      <c r="C112">
        <v>1</v>
      </c>
      <c r="D112" s="19" t="str">
        <f>IF(MONTH(_xlfn.XLOOKUP(Attendance_Table[[#This Row],[session_id]],Sessions_Table[session_id],Sessions_Table[session_date]))=MONTH(MAX(Sessions_Table[session_date])),"Yes","No")</f>
        <v>No</v>
      </c>
    </row>
    <row r="113" spans="1:4" x14ac:dyDescent="0.25">
      <c r="A113">
        <v>35</v>
      </c>
      <c r="B113">
        <v>1021</v>
      </c>
      <c r="C113">
        <v>1</v>
      </c>
      <c r="D113" s="19" t="str">
        <f>IF(MONTH(_xlfn.XLOOKUP(Attendance_Table[[#This Row],[session_id]],Sessions_Table[session_id],Sessions_Table[session_date]))=MONTH(MAX(Sessions_Table[session_date])),"Yes","No")</f>
        <v>No</v>
      </c>
    </row>
    <row r="114" spans="1:4" x14ac:dyDescent="0.25">
      <c r="A114">
        <v>35</v>
      </c>
      <c r="B114">
        <v>1026</v>
      </c>
      <c r="C114">
        <v>1</v>
      </c>
      <c r="D114" s="19" t="str">
        <f>IF(MONTH(_xlfn.XLOOKUP(Attendance_Table[[#This Row],[session_id]],Sessions_Table[session_id],Sessions_Table[session_date]))=MONTH(MAX(Sessions_Table[session_date])),"Yes","No")</f>
        <v>No</v>
      </c>
    </row>
    <row r="115" spans="1:4" x14ac:dyDescent="0.25">
      <c r="A115">
        <v>36</v>
      </c>
      <c r="B115">
        <v>1002</v>
      </c>
      <c r="C115">
        <v>1</v>
      </c>
      <c r="D115" s="19" t="str">
        <f>IF(MONTH(_xlfn.XLOOKUP(Attendance_Table[[#This Row],[session_id]],Sessions_Table[session_id],Sessions_Table[session_date]))=MONTH(MAX(Sessions_Table[session_date])),"Yes","No")</f>
        <v>No</v>
      </c>
    </row>
    <row r="116" spans="1:4" x14ac:dyDescent="0.25">
      <c r="A116">
        <v>36</v>
      </c>
      <c r="B116">
        <v>1013</v>
      </c>
      <c r="C116">
        <v>1</v>
      </c>
      <c r="D116" s="19" t="str">
        <f>IF(MONTH(_xlfn.XLOOKUP(Attendance_Table[[#This Row],[session_id]],Sessions_Table[session_id],Sessions_Table[session_date]))=MONTH(MAX(Sessions_Table[session_date])),"Yes","No")</f>
        <v>No</v>
      </c>
    </row>
    <row r="117" spans="1:4" x14ac:dyDescent="0.25">
      <c r="A117">
        <v>36</v>
      </c>
      <c r="B117">
        <v>1018</v>
      </c>
      <c r="C117">
        <v>1</v>
      </c>
      <c r="D117" s="19" t="str">
        <f>IF(MONTH(_xlfn.XLOOKUP(Attendance_Table[[#This Row],[session_id]],Sessions_Table[session_id],Sessions_Table[session_date]))=MONTH(MAX(Sessions_Table[session_date])),"Yes","No")</f>
        <v>No</v>
      </c>
    </row>
    <row r="118" spans="1:4" x14ac:dyDescent="0.25">
      <c r="A118">
        <v>36</v>
      </c>
      <c r="B118">
        <v>1021</v>
      </c>
      <c r="C118">
        <v>1</v>
      </c>
      <c r="D118" s="19" t="str">
        <f>IF(MONTH(_xlfn.XLOOKUP(Attendance_Table[[#This Row],[session_id]],Sessions_Table[session_id],Sessions_Table[session_date]))=MONTH(MAX(Sessions_Table[session_date])),"Yes","No")</f>
        <v>No</v>
      </c>
    </row>
    <row r="119" spans="1:4" x14ac:dyDescent="0.25">
      <c r="A119">
        <v>36</v>
      </c>
      <c r="B119">
        <v>1026</v>
      </c>
      <c r="C119">
        <v>1</v>
      </c>
      <c r="D119" s="19" t="str">
        <f>IF(MONTH(_xlfn.XLOOKUP(Attendance_Table[[#This Row],[session_id]],Sessions_Table[session_id],Sessions_Table[session_date]))=MONTH(MAX(Sessions_Table[session_date])),"Yes","No")</f>
        <v>No</v>
      </c>
    </row>
    <row r="120" spans="1:4" x14ac:dyDescent="0.25">
      <c r="A120">
        <v>37</v>
      </c>
      <c r="B120">
        <v>1002</v>
      </c>
      <c r="C120">
        <v>1</v>
      </c>
      <c r="D120" s="19" t="str">
        <f>IF(MONTH(_xlfn.XLOOKUP(Attendance_Table[[#This Row],[session_id]],Sessions_Table[session_id],Sessions_Table[session_date]))=MONTH(MAX(Sessions_Table[session_date])),"Yes","No")</f>
        <v>No</v>
      </c>
    </row>
    <row r="121" spans="1:4" x14ac:dyDescent="0.25">
      <c r="A121">
        <v>37</v>
      </c>
      <c r="B121">
        <v>1013</v>
      </c>
      <c r="C121">
        <v>1</v>
      </c>
      <c r="D121" s="19" t="str">
        <f>IF(MONTH(_xlfn.XLOOKUP(Attendance_Table[[#This Row],[session_id]],Sessions_Table[session_id],Sessions_Table[session_date]))=MONTH(MAX(Sessions_Table[session_date])),"Yes","No")</f>
        <v>No</v>
      </c>
    </row>
    <row r="122" spans="1:4" x14ac:dyDescent="0.25">
      <c r="A122">
        <v>37</v>
      </c>
      <c r="B122">
        <v>1018</v>
      </c>
      <c r="C122">
        <v>1</v>
      </c>
      <c r="D122" s="19" t="str">
        <f>IF(MONTH(_xlfn.XLOOKUP(Attendance_Table[[#This Row],[session_id]],Sessions_Table[session_id],Sessions_Table[session_date]))=MONTH(MAX(Sessions_Table[session_date])),"Yes","No")</f>
        <v>No</v>
      </c>
    </row>
    <row r="123" spans="1:4" x14ac:dyDescent="0.25">
      <c r="A123">
        <v>37</v>
      </c>
      <c r="B123">
        <v>1021</v>
      </c>
      <c r="C123">
        <v>1</v>
      </c>
      <c r="D123" s="19" t="str">
        <f>IF(MONTH(_xlfn.XLOOKUP(Attendance_Table[[#This Row],[session_id]],Sessions_Table[session_id],Sessions_Table[session_date]))=MONTH(MAX(Sessions_Table[session_date])),"Yes","No")</f>
        <v>No</v>
      </c>
    </row>
    <row r="124" spans="1:4" x14ac:dyDescent="0.25">
      <c r="A124">
        <v>37</v>
      </c>
      <c r="B124">
        <v>1026</v>
      </c>
      <c r="C124">
        <v>1</v>
      </c>
      <c r="D124" s="19" t="str">
        <f>IF(MONTH(_xlfn.XLOOKUP(Attendance_Table[[#This Row],[session_id]],Sessions_Table[session_id],Sessions_Table[session_date]))=MONTH(MAX(Sessions_Table[session_date])),"Yes","No")</f>
        <v>No</v>
      </c>
    </row>
    <row r="125" spans="1:4" x14ac:dyDescent="0.25">
      <c r="A125">
        <v>38</v>
      </c>
      <c r="B125">
        <v>1002</v>
      </c>
      <c r="C125">
        <v>1</v>
      </c>
      <c r="D125" s="19" t="str">
        <f>IF(MONTH(_xlfn.XLOOKUP(Attendance_Table[[#This Row],[session_id]],Sessions_Table[session_id],Sessions_Table[session_date]))=MONTH(MAX(Sessions_Table[session_date])),"Yes","No")</f>
        <v>No</v>
      </c>
    </row>
    <row r="126" spans="1:4" x14ac:dyDescent="0.25">
      <c r="A126">
        <v>38</v>
      </c>
      <c r="B126">
        <v>1013</v>
      </c>
      <c r="C126">
        <v>0</v>
      </c>
      <c r="D126" s="19" t="str">
        <f>IF(MONTH(_xlfn.XLOOKUP(Attendance_Table[[#This Row],[session_id]],Sessions_Table[session_id],Sessions_Table[session_date]))=MONTH(MAX(Sessions_Table[session_date])),"Yes","No")</f>
        <v>No</v>
      </c>
    </row>
    <row r="127" spans="1:4" x14ac:dyDescent="0.25">
      <c r="A127">
        <v>38</v>
      </c>
      <c r="B127">
        <v>1018</v>
      </c>
      <c r="C127">
        <v>1</v>
      </c>
      <c r="D127" s="19" t="str">
        <f>IF(MONTH(_xlfn.XLOOKUP(Attendance_Table[[#This Row],[session_id]],Sessions_Table[session_id],Sessions_Table[session_date]))=MONTH(MAX(Sessions_Table[session_date])),"Yes","No")</f>
        <v>No</v>
      </c>
    </row>
    <row r="128" spans="1:4" x14ac:dyDescent="0.25">
      <c r="A128">
        <v>38</v>
      </c>
      <c r="B128">
        <v>1021</v>
      </c>
      <c r="C128">
        <v>1</v>
      </c>
      <c r="D128" s="19" t="str">
        <f>IF(MONTH(_xlfn.XLOOKUP(Attendance_Table[[#This Row],[session_id]],Sessions_Table[session_id],Sessions_Table[session_date]))=MONTH(MAX(Sessions_Table[session_date])),"Yes","No")</f>
        <v>No</v>
      </c>
    </row>
    <row r="129" spans="1:4" x14ac:dyDescent="0.25">
      <c r="A129">
        <v>38</v>
      </c>
      <c r="B129">
        <v>1026</v>
      </c>
      <c r="C129">
        <v>1</v>
      </c>
      <c r="D129" s="19" t="str">
        <f>IF(MONTH(_xlfn.XLOOKUP(Attendance_Table[[#This Row],[session_id]],Sessions_Table[session_id],Sessions_Table[session_date]))=MONTH(MAX(Sessions_Table[session_date])),"Yes","No")</f>
        <v>No</v>
      </c>
    </row>
    <row r="130" spans="1:4" x14ac:dyDescent="0.25">
      <c r="A130">
        <v>39</v>
      </c>
      <c r="B130">
        <v>1002</v>
      </c>
      <c r="C130">
        <v>1</v>
      </c>
      <c r="D130" s="19" t="str">
        <f>IF(MONTH(_xlfn.XLOOKUP(Attendance_Table[[#This Row],[session_id]],Sessions_Table[session_id],Sessions_Table[session_date]))=MONTH(MAX(Sessions_Table[session_date])),"Yes","No")</f>
        <v>No</v>
      </c>
    </row>
    <row r="131" spans="1:4" x14ac:dyDescent="0.25">
      <c r="A131">
        <v>39</v>
      </c>
      <c r="B131">
        <v>1013</v>
      </c>
      <c r="C131">
        <v>1</v>
      </c>
      <c r="D131" s="19" t="str">
        <f>IF(MONTH(_xlfn.XLOOKUP(Attendance_Table[[#This Row],[session_id]],Sessions_Table[session_id],Sessions_Table[session_date]))=MONTH(MAX(Sessions_Table[session_date])),"Yes","No")</f>
        <v>No</v>
      </c>
    </row>
    <row r="132" spans="1:4" x14ac:dyDescent="0.25">
      <c r="A132">
        <v>39</v>
      </c>
      <c r="B132">
        <v>1018</v>
      </c>
      <c r="C132">
        <v>0</v>
      </c>
      <c r="D132" s="19" t="str">
        <f>IF(MONTH(_xlfn.XLOOKUP(Attendance_Table[[#This Row],[session_id]],Sessions_Table[session_id],Sessions_Table[session_date]))=MONTH(MAX(Sessions_Table[session_date])),"Yes","No")</f>
        <v>No</v>
      </c>
    </row>
    <row r="133" spans="1:4" x14ac:dyDescent="0.25">
      <c r="A133">
        <v>39</v>
      </c>
      <c r="B133">
        <v>1021</v>
      </c>
      <c r="C133">
        <v>1</v>
      </c>
      <c r="D133" s="19" t="str">
        <f>IF(MONTH(_xlfn.XLOOKUP(Attendance_Table[[#This Row],[session_id]],Sessions_Table[session_id],Sessions_Table[session_date]))=MONTH(MAX(Sessions_Table[session_date])),"Yes","No")</f>
        <v>No</v>
      </c>
    </row>
    <row r="134" spans="1:4" x14ac:dyDescent="0.25">
      <c r="A134">
        <v>39</v>
      </c>
      <c r="B134">
        <v>1026</v>
      </c>
      <c r="C134">
        <v>1</v>
      </c>
      <c r="D134" s="19" t="str">
        <f>IF(MONTH(_xlfn.XLOOKUP(Attendance_Table[[#This Row],[session_id]],Sessions_Table[session_id],Sessions_Table[session_date]))=MONTH(MAX(Sessions_Table[session_date])),"Yes","No")</f>
        <v>No</v>
      </c>
    </row>
    <row r="135" spans="1:4" x14ac:dyDescent="0.25">
      <c r="A135">
        <v>40</v>
      </c>
      <c r="B135">
        <v>1002</v>
      </c>
      <c r="C135">
        <v>0</v>
      </c>
      <c r="D135" s="19" t="str">
        <f>IF(MONTH(_xlfn.XLOOKUP(Attendance_Table[[#This Row],[session_id]],Sessions_Table[session_id],Sessions_Table[session_date]))=MONTH(MAX(Sessions_Table[session_date])),"Yes","No")</f>
        <v>No</v>
      </c>
    </row>
    <row r="136" spans="1:4" x14ac:dyDescent="0.25">
      <c r="A136">
        <v>40</v>
      </c>
      <c r="B136">
        <v>1013</v>
      </c>
      <c r="C136">
        <v>1</v>
      </c>
      <c r="D136" s="19" t="str">
        <f>IF(MONTH(_xlfn.XLOOKUP(Attendance_Table[[#This Row],[session_id]],Sessions_Table[session_id],Sessions_Table[session_date]))=MONTH(MAX(Sessions_Table[session_date])),"Yes","No")</f>
        <v>No</v>
      </c>
    </row>
    <row r="137" spans="1:4" x14ac:dyDescent="0.25">
      <c r="A137">
        <v>40</v>
      </c>
      <c r="B137">
        <v>1018</v>
      </c>
      <c r="C137">
        <v>1</v>
      </c>
      <c r="D137" s="19" t="str">
        <f>IF(MONTH(_xlfn.XLOOKUP(Attendance_Table[[#This Row],[session_id]],Sessions_Table[session_id],Sessions_Table[session_date]))=MONTH(MAX(Sessions_Table[session_date])),"Yes","No")</f>
        <v>No</v>
      </c>
    </row>
    <row r="138" spans="1:4" x14ac:dyDescent="0.25">
      <c r="A138">
        <v>40</v>
      </c>
      <c r="B138">
        <v>1021</v>
      </c>
      <c r="C138">
        <v>1</v>
      </c>
      <c r="D138" s="19" t="str">
        <f>IF(MONTH(_xlfn.XLOOKUP(Attendance_Table[[#This Row],[session_id]],Sessions_Table[session_id],Sessions_Table[session_date]))=MONTH(MAX(Sessions_Table[session_date])),"Yes","No")</f>
        <v>No</v>
      </c>
    </row>
    <row r="139" spans="1:4" x14ac:dyDescent="0.25">
      <c r="A139">
        <v>40</v>
      </c>
      <c r="B139">
        <v>1026</v>
      </c>
      <c r="C139">
        <v>1</v>
      </c>
      <c r="D139" s="19" t="str">
        <f>IF(MONTH(_xlfn.XLOOKUP(Attendance_Table[[#This Row],[session_id]],Sessions_Table[session_id],Sessions_Table[session_date]))=MONTH(MAX(Sessions_Table[session_date])),"Yes","No")</f>
        <v>No</v>
      </c>
    </row>
    <row r="140" spans="1:4" x14ac:dyDescent="0.25">
      <c r="A140">
        <v>41</v>
      </c>
      <c r="B140">
        <v>1002</v>
      </c>
      <c r="C140">
        <v>1</v>
      </c>
      <c r="D140" s="19" t="str">
        <f>IF(MONTH(_xlfn.XLOOKUP(Attendance_Table[[#This Row],[session_id]],Sessions_Table[session_id],Sessions_Table[session_date]))=MONTH(MAX(Sessions_Table[session_date])),"Yes","No")</f>
        <v>No</v>
      </c>
    </row>
    <row r="141" spans="1:4" x14ac:dyDescent="0.25">
      <c r="A141">
        <v>41</v>
      </c>
      <c r="B141">
        <v>1013</v>
      </c>
      <c r="C141">
        <v>0</v>
      </c>
      <c r="D141" s="19" t="str">
        <f>IF(MONTH(_xlfn.XLOOKUP(Attendance_Table[[#This Row],[session_id]],Sessions_Table[session_id],Sessions_Table[session_date]))=MONTH(MAX(Sessions_Table[session_date])),"Yes","No")</f>
        <v>No</v>
      </c>
    </row>
    <row r="142" spans="1:4" x14ac:dyDescent="0.25">
      <c r="A142">
        <v>41</v>
      </c>
      <c r="B142">
        <v>1018</v>
      </c>
      <c r="C142">
        <v>1</v>
      </c>
      <c r="D142" s="19" t="str">
        <f>IF(MONTH(_xlfn.XLOOKUP(Attendance_Table[[#This Row],[session_id]],Sessions_Table[session_id],Sessions_Table[session_date]))=MONTH(MAX(Sessions_Table[session_date])),"Yes","No")</f>
        <v>No</v>
      </c>
    </row>
    <row r="143" spans="1:4" x14ac:dyDescent="0.25">
      <c r="A143">
        <v>41</v>
      </c>
      <c r="B143">
        <v>1021</v>
      </c>
      <c r="C143">
        <v>1</v>
      </c>
      <c r="D143" s="19" t="str">
        <f>IF(MONTH(_xlfn.XLOOKUP(Attendance_Table[[#This Row],[session_id]],Sessions_Table[session_id],Sessions_Table[session_date]))=MONTH(MAX(Sessions_Table[session_date])),"Yes","No")</f>
        <v>No</v>
      </c>
    </row>
    <row r="144" spans="1:4" x14ac:dyDescent="0.25">
      <c r="A144">
        <v>41</v>
      </c>
      <c r="B144">
        <v>1026</v>
      </c>
      <c r="C144">
        <v>1</v>
      </c>
      <c r="D144" s="19" t="str">
        <f>IF(MONTH(_xlfn.XLOOKUP(Attendance_Table[[#This Row],[session_id]],Sessions_Table[session_id],Sessions_Table[session_date]))=MONTH(MAX(Sessions_Table[session_date])),"Yes","No")</f>
        <v>No</v>
      </c>
    </row>
    <row r="145" spans="1:4" x14ac:dyDescent="0.25">
      <c r="A145">
        <v>42</v>
      </c>
      <c r="B145">
        <v>1002</v>
      </c>
      <c r="C145">
        <v>1</v>
      </c>
      <c r="D145" s="19" t="str">
        <f>IF(MONTH(_xlfn.XLOOKUP(Attendance_Table[[#This Row],[session_id]],Sessions_Table[session_id],Sessions_Table[session_date]))=MONTH(MAX(Sessions_Table[session_date])),"Yes","No")</f>
        <v>No</v>
      </c>
    </row>
    <row r="146" spans="1:4" x14ac:dyDescent="0.25">
      <c r="A146">
        <v>42</v>
      </c>
      <c r="B146">
        <v>1013</v>
      </c>
      <c r="C146">
        <v>1</v>
      </c>
      <c r="D146" s="19" t="str">
        <f>IF(MONTH(_xlfn.XLOOKUP(Attendance_Table[[#This Row],[session_id]],Sessions_Table[session_id],Sessions_Table[session_date]))=MONTH(MAX(Sessions_Table[session_date])),"Yes","No")</f>
        <v>No</v>
      </c>
    </row>
    <row r="147" spans="1:4" x14ac:dyDescent="0.25">
      <c r="A147">
        <v>42</v>
      </c>
      <c r="B147">
        <v>1018</v>
      </c>
      <c r="C147">
        <v>1</v>
      </c>
      <c r="D147" s="19" t="str">
        <f>IF(MONTH(_xlfn.XLOOKUP(Attendance_Table[[#This Row],[session_id]],Sessions_Table[session_id],Sessions_Table[session_date]))=MONTH(MAX(Sessions_Table[session_date])),"Yes","No")</f>
        <v>No</v>
      </c>
    </row>
    <row r="148" spans="1:4" x14ac:dyDescent="0.25">
      <c r="A148">
        <v>42</v>
      </c>
      <c r="B148">
        <v>1021</v>
      </c>
      <c r="C148">
        <v>1</v>
      </c>
      <c r="D148" s="19" t="str">
        <f>IF(MONTH(_xlfn.XLOOKUP(Attendance_Table[[#This Row],[session_id]],Sessions_Table[session_id],Sessions_Table[session_date]))=MONTH(MAX(Sessions_Table[session_date])),"Yes","No")</f>
        <v>No</v>
      </c>
    </row>
    <row r="149" spans="1:4" x14ac:dyDescent="0.25">
      <c r="A149">
        <v>42</v>
      </c>
      <c r="B149">
        <v>1026</v>
      </c>
      <c r="C149">
        <v>1</v>
      </c>
      <c r="D149" s="19" t="str">
        <f>IF(MONTH(_xlfn.XLOOKUP(Attendance_Table[[#This Row],[session_id]],Sessions_Table[session_id],Sessions_Table[session_date]))=MONTH(MAX(Sessions_Table[session_date])),"Yes","No")</f>
        <v>No</v>
      </c>
    </row>
    <row r="150" spans="1:4" x14ac:dyDescent="0.25">
      <c r="A150">
        <v>43</v>
      </c>
      <c r="B150">
        <v>1002</v>
      </c>
      <c r="C150">
        <v>1</v>
      </c>
      <c r="D150" s="19" t="str">
        <f>IF(MONTH(_xlfn.XLOOKUP(Attendance_Table[[#This Row],[session_id]],Sessions_Table[session_id],Sessions_Table[session_date]))=MONTH(MAX(Sessions_Table[session_date])),"Yes","No")</f>
        <v>No</v>
      </c>
    </row>
    <row r="151" spans="1:4" x14ac:dyDescent="0.25">
      <c r="A151">
        <v>43</v>
      </c>
      <c r="B151">
        <v>1013</v>
      </c>
      <c r="C151">
        <v>1</v>
      </c>
      <c r="D151" s="19" t="str">
        <f>IF(MONTH(_xlfn.XLOOKUP(Attendance_Table[[#This Row],[session_id]],Sessions_Table[session_id],Sessions_Table[session_date]))=MONTH(MAX(Sessions_Table[session_date])),"Yes","No")</f>
        <v>No</v>
      </c>
    </row>
    <row r="152" spans="1:4" x14ac:dyDescent="0.25">
      <c r="A152">
        <v>43</v>
      </c>
      <c r="B152">
        <v>1018</v>
      </c>
      <c r="C152">
        <v>1</v>
      </c>
      <c r="D152" s="19" t="str">
        <f>IF(MONTH(_xlfn.XLOOKUP(Attendance_Table[[#This Row],[session_id]],Sessions_Table[session_id],Sessions_Table[session_date]))=MONTH(MAX(Sessions_Table[session_date])),"Yes","No")</f>
        <v>No</v>
      </c>
    </row>
    <row r="153" spans="1:4" x14ac:dyDescent="0.25">
      <c r="A153">
        <v>43</v>
      </c>
      <c r="B153">
        <v>1021</v>
      </c>
      <c r="C153">
        <v>1</v>
      </c>
      <c r="D153" s="19" t="str">
        <f>IF(MONTH(_xlfn.XLOOKUP(Attendance_Table[[#This Row],[session_id]],Sessions_Table[session_id],Sessions_Table[session_date]))=MONTH(MAX(Sessions_Table[session_date])),"Yes","No")</f>
        <v>No</v>
      </c>
    </row>
    <row r="154" spans="1:4" x14ac:dyDescent="0.25">
      <c r="A154">
        <v>43</v>
      </c>
      <c r="B154">
        <v>1026</v>
      </c>
      <c r="C154">
        <v>1</v>
      </c>
      <c r="D154" s="19" t="str">
        <f>IF(MONTH(_xlfn.XLOOKUP(Attendance_Table[[#This Row],[session_id]],Sessions_Table[session_id],Sessions_Table[session_date]))=MONTH(MAX(Sessions_Table[session_date])),"Yes","No")</f>
        <v>No</v>
      </c>
    </row>
    <row r="155" spans="1:4" x14ac:dyDescent="0.25">
      <c r="A155">
        <v>44</v>
      </c>
      <c r="B155">
        <v>1002</v>
      </c>
      <c r="C155">
        <v>0</v>
      </c>
      <c r="D155" s="19" t="str">
        <f>IF(MONTH(_xlfn.XLOOKUP(Attendance_Table[[#This Row],[session_id]],Sessions_Table[session_id],Sessions_Table[session_date]))=MONTH(MAX(Sessions_Table[session_date])),"Yes","No")</f>
        <v>No</v>
      </c>
    </row>
    <row r="156" spans="1:4" x14ac:dyDescent="0.25">
      <c r="A156">
        <v>44</v>
      </c>
      <c r="B156">
        <v>1013</v>
      </c>
      <c r="C156">
        <v>1</v>
      </c>
      <c r="D156" s="19" t="str">
        <f>IF(MONTH(_xlfn.XLOOKUP(Attendance_Table[[#This Row],[session_id]],Sessions_Table[session_id],Sessions_Table[session_date]))=MONTH(MAX(Sessions_Table[session_date])),"Yes","No")</f>
        <v>No</v>
      </c>
    </row>
    <row r="157" spans="1:4" x14ac:dyDescent="0.25">
      <c r="A157">
        <v>44</v>
      </c>
      <c r="B157">
        <v>1018</v>
      </c>
      <c r="C157">
        <v>1</v>
      </c>
      <c r="D157" s="19" t="str">
        <f>IF(MONTH(_xlfn.XLOOKUP(Attendance_Table[[#This Row],[session_id]],Sessions_Table[session_id],Sessions_Table[session_date]))=MONTH(MAX(Sessions_Table[session_date])),"Yes","No")</f>
        <v>No</v>
      </c>
    </row>
    <row r="158" spans="1:4" x14ac:dyDescent="0.25">
      <c r="A158">
        <v>44</v>
      </c>
      <c r="B158">
        <v>1021</v>
      </c>
      <c r="C158">
        <v>1</v>
      </c>
      <c r="D158" s="19" t="str">
        <f>IF(MONTH(_xlfn.XLOOKUP(Attendance_Table[[#This Row],[session_id]],Sessions_Table[session_id],Sessions_Table[session_date]))=MONTH(MAX(Sessions_Table[session_date])),"Yes","No")</f>
        <v>No</v>
      </c>
    </row>
    <row r="159" spans="1:4" x14ac:dyDescent="0.25">
      <c r="A159">
        <v>44</v>
      </c>
      <c r="B159">
        <v>1026</v>
      </c>
      <c r="C159">
        <v>1</v>
      </c>
      <c r="D159" s="19" t="str">
        <f>IF(MONTH(_xlfn.XLOOKUP(Attendance_Table[[#This Row],[session_id]],Sessions_Table[session_id],Sessions_Table[session_date]))=MONTH(MAX(Sessions_Table[session_date])),"Yes","No")</f>
        <v>No</v>
      </c>
    </row>
    <row r="160" spans="1:4" x14ac:dyDescent="0.25">
      <c r="A160">
        <v>45</v>
      </c>
      <c r="B160">
        <v>1002</v>
      </c>
      <c r="C160">
        <v>1</v>
      </c>
      <c r="D160" s="19" t="str">
        <f>IF(MONTH(_xlfn.XLOOKUP(Attendance_Table[[#This Row],[session_id]],Sessions_Table[session_id],Sessions_Table[session_date]))=MONTH(MAX(Sessions_Table[session_date])),"Yes","No")</f>
        <v>No</v>
      </c>
    </row>
    <row r="161" spans="1:4" x14ac:dyDescent="0.25">
      <c r="A161">
        <v>45</v>
      </c>
      <c r="B161">
        <v>1013</v>
      </c>
      <c r="C161">
        <v>1</v>
      </c>
      <c r="D161" s="19" t="str">
        <f>IF(MONTH(_xlfn.XLOOKUP(Attendance_Table[[#This Row],[session_id]],Sessions_Table[session_id],Sessions_Table[session_date]))=MONTH(MAX(Sessions_Table[session_date])),"Yes","No")</f>
        <v>No</v>
      </c>
    </row>
    <row r="162" spans="1:4" x14ac:dyDescent="0.25">
      <c r="A162">
        <v>45</v>
      </c>
      <c r="B162">
        <v>1018</v>
      </c>
      <c r="C162">
        <v>0</v>
      </c>
      <c r="D162" s="19" t="str">
        <f>IF(MONTH(_xlfn.XLOOKUP(Attendance_Table[[#This Row],[session_id]],Sessions_Table[session_id],Sessions_Table[session_date]))=MONTH(MAX(Sessions_Table[session_date])),"Yes","No")</f>
        <v>No</v>
      </c>
    </row>
    <row r="163" spans="1:4" x14ac:dyDescent="0.25">
      <c r="A163">
        <v>45</v>
      </c>
      <c r="B163">
        <v>1021</v>
      </c>
      <c r="C163">
        <v>1</v>
      </c>
      <c r="D163" s="19" t="str">
        <f>IF(MONTH(_xlfn.XLOOKUP(Attendance_Table[[#This Row],[session_id]],Sessions_Table[session_id],Sessions_Table[session_date]))=MONTH(MAX(Sessions_Table[session_date])),"Yes","No")</f>
        <v>No</v>
      </c>
    </row>
    <row r="164" spans="1:4" x14ac:dyDescent="0.25">
      <c r="A164">
        <v>45</v>
      </c>
      <c r="B164">
        <v>1026</v>
      </c>
      <c r="C164">
        <v>1</v>
      </c>
      <c r="D164" s="19" t="str">
        <f>IF(MONTH(_xlfn.XLOOKUP(Attendance_Table[[#This Row],[session_id]],Sessions_Table[session_id],Sessions_Table[session_date]))=MONTH(MAX(Sessions_Table[session_date])),"Yes","No")</f>
        <v>No</v>
      </c>
    </row>
    <row r="165" spans="1:4" x14ac:dyDescent="0.25">
      <c r="A165">
        <v>46</v>
      </c>
      <c r="B165">
        <v>1002</v>
      </c>
      <c r="C165">
        <v>1</v>
      </c>
      <c r="D165" s="19" t="str">
        <f>IF(MONTH(_xlfn.XLOOKUP(Attendance_Table[[#This Row],[session_id]],Sessions_Table[session_id],Sessions_Table[session_date]))=MONTH(MAX(Sessions_Table[session_date])),"Yes","No")</f>
        <v>No</v>
      </c>
    </row>
    <row r="166" spans="1:4" x14ac:dyDescent="0.25">
      <c r="A166">
        <v>46</v>
      </c>
      <c r="B166">
        <v>1013</v>
      </c>
      <c r="C166">
        <v>1</v>
      </c>
      <c r="D166" s="19" t="str">
        <f>IF(MONTH(_xlfn.XLOOKUP(Attendance_Table[[#This Row],[session_id]],Sessions_Table[session_id],Sessions_Table[session_date]))=MONTH(MAX(Sessions_Table[session_date])),"Yes","No")</f>
        <v>No</v>
      </c>
    </row>
    <row r="167" spans="1:4" x14ac:dyDescent="0.25">
      <c r="A167">
        <v>46</v>
      </c>
      <c r="B167">
        <v>1018</v>
      </c>
      <c r="C167">
        <v>0</v>
      </c>
      <c r="D167" s="19" t="str">
        <f>IF(MONTH(_xlfn.XLOOKUP(Attendance_Table[[#This Row],[session_id]],Sessions_Table[session_id],Sessions_Table[session_date]))=MONTH(MAX(Sessions_Table[session_date])),"Yes","No")</f>
        <v>No</v>
      </c>
    </row>
    <row r="168" spans="1:4" x14ac:dyDescent="0.25">
      <c r="A168">
        <v>46</v>
      </c>
      <c r="B168">
        <v>1021</v>
      </c>
      <c r="C168">
        <v>1</v>
      </c>
      <c r="D168" s="19" t="str">
        <f>IF(MONTH(_xlfn.XLOOKUP(Attendance_Table[[#This Row],[session_id]],Sessions_Table[session_id],Sessions_Table[session_date]))=MONTH(MAX(Sessions_Table[session_date])),"Yes","No")</f>
        <v>No</v>
      </c>
    </row>
    <row r="169" spans="1:4" x14ac:dyDescent="0.25">
      <c r="A169">
        <v>46</v>
      </c>
      <c r="B169">
        <v>1026</v>
      </c>
      <c r="C169">
        <v>1</v>
      </c>
      <c r="D169" s="19" t="str">
        <f>IF(MONTH(_xlfn.XLOOKUP(Attendance_Table[[#This Row],[session_id]],Sessions_Table[session_id],Sessions_Table[session_date]))=MONTH(MAX(Sessions_Table[session_date])),"Yes","No")</f>
        <v>No</v>
      </c>
    </row>
    <row r="170" spans="1:4" x14ac:dyDescent="0.25">
      <c r="A170">
        <v>47</v>
      </c>
      <c r="B170">
        <v>1008</v>
      </c>
      <c r="C170">
        <v>1</v>
      </c>
      <c r="D170" s="19" t="str">
        <f>IF(MONTH(_xlfn.XLOOKUP(Attendance_Table[[#This Row],[session_id]],Sessions_Table[session_id],Sessions_Table[session_date]))=MONTH(MAX(Sessions_Table[session_date])),"Yes","No")</f>
        <v>No</v>
      </c>
    </row>
    <row r="171" spans="1:4" x14ac:dyDescent="0.25">
      <c r="A171">
        <v>47</v>
      </c>
      <c r="B171">
        <v>1012</v>
      </c>
      <c r="C171">
        <v>1</v>
      </c>
      <c r="D171" s="19" t="str">
        <f>IF(MONTH(_xlfn.XLOOKUP(Attendance_Table[[#This Row],[session_id]],Sessions_Table[session_id],Sessions_Table[session_date]))=MONTH(MAX(Sessions_Table[session_date])),"Yes","No")</f>
        <v>No</v>
      </c>
    </row>
    <row r="172" spans="1:4" x14ac:dyDescent="0.25">
      <c r="A172">
        <v>47</v>
      </c>
      <c r="B172">
        <v>1024</v>
      </c>
      <c r="C172">
        <v>1</v>
      </c>
      <c r="D172" s="19" t="str">
        <f>IF(MONTH(_xlfn.XLOOKUP(Attendance_Table[[#This Row],[session_id]],Sessions_Table[session_id],Sessions_Table[session_date]))=MONTH(MAX(Sessions_Table[session_date])),"Yes","No")</f>
        <v>No</v>
      </c>
    </row>
    <row r="173" spans="1:4" x14ac:dyDescent="0.25">
      <c r="A173">
        <v>48</v>
      </c>
      <c r="B173">
        <v>1008</v>
      </c>
      <c r="C173">
        <v>1</v>
      </c>
      <c r="D173" s="19" t="str">
        <f>IF(MONTH(_xlfn.XLOOKUP(Attendance_Table[[#This Row],[session_id]],Sessions_Table[session_id],Sessions_Table[session_date]))=MONTH(MAX(Sessions_Table[session_date])),"Yes","No")</f>
        <v>No</v>
      </c>
    </row>
    <row r="174" spans="1:4" x14ac:dyDescent="0.25">
      <c r="A174">
        <v>48</v>
      </c>
      <c r="B174">
        <v>1012</v>
      </c>
      <c r="C174">
        <v>1</v>
      </c>
      <c r="D174" s="19" t="str">
        <f>IF(MONTH(_xlfn.XLOOKUP(Attendance_Table[[#This Row],[session_id]],Sessions_Table[session_id],Sessions_Table[session_date]))=MONTH(MAX(Sessions_Table[session_date])),"Yes","No")</f>
        <v>No</v>
      </c>
    </row>
    <row r="175" spans="1:4" x14ac:dyDescent="0.25">
      <c r="A175">
        <v>48</v>
      </c>
      <c r="B175">
        <v>1024</v>
      </c>
      <c r="C175">
        <v>1</v>
      </c>
      <c r="D175" s="19" t="str">
        <f>IF(MONTH(_xlfn.XLOOKUP(Attendance_Table[[#This Row],[session_id]],Sessions_Table[session_id],Sessions_Table[session_date]))=MONTH(MAX(Sessions_Table[session_date])),"Yes","No")</f>
        <v>No</v>
      </c>
    </row>
    <row r="176" spans="1:4" x14ac:dyDescent="0.25">
      <c r="A176">
        <v>49</v>
      </c>
      <c r="B176">
        <v>1008</v>
      </c>
      <c r="C176">
        <v>1</v>
      </c>
      <c r="D176" s="19" t="str">
        <f>IF(MONTH(_xlfn.XLOOKUP(Attendance_Table[[#This Row],[session_id]],Sessions_Table[session_id],Sessions_Table[session_date]))=MONTH(MAX(Sessions_Table[session_date])),"Yes","No")</f>
        <v>No</v>
      </c>
    </row>
    <row r="177" spans="1:4" x14ac:dyDescent="0.25">
      <c r="A177">
        <v>49</v>
      </c>
      <c r="B177">
        <v>1012</v>
      </c>
      <c r="C177">
        <v>0</v>
      </c>
      <c r="D177" s="19" t="str">
        <f>IF(MONTH(_xlfn.XLOOKUP(Attendance_Table[[#This Row],[session_id]],Sessions_Table[session_id],Sessions_Table[session_date]))=MONTH(MAX(Sessions_Table[session_date])),"Yes","No")</f>
        <v>No</v>
      </c>
    </row>
    <row r="178" spans="1:4" x14ac:dyDescent="0.25">
      <c r="A178">
        <v>49</v>
      </c>
      <c r="B178">
        <v>1024</v>
      </c>
      <c r="C178">
        <v>1</v>
      </c>
      <c r="D178" s="19" t="str">
        <f>IF(MONTH(_xlfn.XLOOKUP(Attendance_Table[[#This Row],[session_id]],Sessions_Table[session_id],Sessions_Table[session_date]))=MONTH(MAX(Sessions_Table[session_date])),"Yes","No")</f>
        <v>No</v>
      </c>
    </row>
    <row r="179" spans="1:4" x14ac:dyDescent="0.25">
      <c r="A179">
        <v>50</v>
      </c>
      <c r="B179">
        <v>1008</v>
      </c>
      <c r="C179">
        <v>1</v>
      </c>
      <c r="D179" s="19" t="str">
        <f>IF(MONTH(_xlfn.XLOOKUP(Attendance_Table[[#This Row],[session_id]],Sessions_Table[session_id],Sessions_Table[session_date]))=MONTH(MAX(Sessions_Table[session_date])),"Yes","No")</f>
        <v>No</v>
      </c>
    </row>
    <row r="180" spans="1:4" x14ac:dyDescent="0.25">
      <c r="A180">
        <v>50</v>
      </c>
      <c r="B180">
        <v>1012</v>
      </c>
      <c r="C180">
        <v>1</v>
      </c>
      <c r="D180" s="19" t="str">
        <f>IF(MONTH(_xlfn.XLOOKUP(Attendance_Table[[#This Row],[session_id]],Sessions_Table[session_id],Sessions_Table[session_date]))=MONTH(MAX(Sessions_Table[session_date])),"Yes","No")</f>
        <v>No</v>
      </c>
    </row>
    <row r="181" spans="1:4" x14ac:dyDescent="0.25">
      <c r="A181">
        <v>50</v>
      </c>
      <c r="B181">
        <v>1024</v>
      </c>
      <c r="C181">
        <v>1</v>
      </c>
      <c r="D181" s="19" t="str">
        <f>IF(MONTH(_xlfn.XLOOKUP(Attendance_Table[[#This Row],[session_id]],Sessions_Table[session_id],Sessions_Table[session_date]))=MONTH(MAX(Sessions_Table[session_date])),"Yes","No")</f>
        <v>No</v>
      </c>
    </row>
    <row r="182" spans="1:4" x14ac:dyDescent="0.25">
      <c r="A182">
        <v>51</v>
      </c>
      <c r="B182">
        <v>1008</v>
      </c>
      <c r="C182">
        <v>1</v>
      </c>
      <c r="D182" s="19" t="str">
        <f>IF(MONTH(_xlfn.XLOOKUP(Attendance_Table[[#This Row],[session_id]],Sessions_Table[session_id],Sessions_Table[session_date]))=MONTH(MAX(Sessions_Table[session_date])),"Yes","No")</f>
        <v>No</v>
      </c>
    </row>
    <row r="183" spans="1:4" x14ac:dyDescent="0.25">
      <c r="A183">
        <v>51</v>
      </c>
      <c r="B183">
        <v>1012</v>
      </c>
      <c r="C183">
        <v>1</v>
      </c>
      <c r="D183" s="19" t="str">
        <f>IF(MONTH(_xlfn.XLOOKUP(Attendance_Table[[#This Row],[session_id]],Sessions_Table[session_id],Sessions_Table[session_date]))=MONTH(MAX(Sessions_Table[session_date])),"Yes","No")</f>
        <v>No</v>
      </c>
    </row>
    <row r="184" spans="1:4" x14ac:dyDescent="0.25">
      <c r="A184">
        <v>51</v>
      </c>
      <c r="B184">
        <v>1024</v>
      </c>
      <c r="C184">
        <v>1</v>
      </c>
      <c r="D184" s="19" t="str">
        <f>IF(MONTH(_xlfn.XLOOKUP(Attendance_Table[[#This Row],[session_id]],Sessions_Table[session_id],Sessions_Table[session_date]))=MONTH(MAX(Sessions_Table[session_date])),"Yes","No")</f>
        <v>No</v>
      </c>
    </row>
    <row r="185" spans="1:4" x14ac:dyDescent="0.25">
      <c r="A185">
        <v>52</v>
      </c>
      <c r="B185">
        <v>1008</v>
      </c>
      <c r="C185">
        <v>1</v>
      </c>
      <c r="D185" s="19" t="str">
        <f>IF(MONTH(_xlfn.XLOOKUP(Attendance_Table[[#This Row],[session_id]],Sessions_Table[session_id],Sessions_Table[session_date]))=MONTH(MAX(Sessions_Table[session_date])),"Yes","No")</f>
        <v>No</v>
      </c>
    </row>
    <row r="186" spans="1:4" x14ac:dyDescent="0.25">
      <c r="A186">
        <v>52</v>
      </c>
      <c r="B186">
        <v>1012</v>
      </c>
      <c r="C186">
        <v>1</v>
      </c>
      <c r="D186" s="19" t="str">
        <f>IF(MONTH(_xlfn.XLOOKUP(Attendance_Table[[#This Row],[session_id]],Sessions_Table[session_id],Sessions_Table[session_date]))=MONTH(MAX(Sessions_Table[session_date])),"Yes","No")</f>
        <v>No</v>
      </c>
    </row>
    <row r="187" spans="1:4" x14ac:dyDescent="0.25">
      <c r="A187">
        <v>52</v>
      </c>
      <c r="B187">
        <v>1024</v>
      </c>
      <c r="C187">
        <v>1</v>
      </c>
      <c r="D187" s="19" t="str">
        <f>IF(MONTH(_xlfn.XLOOKUP(Attendance_Table[[#This Row],[session_id]],Sessions_Table[session_id],Sessions_Table[session_date]))=MONTH(MAX(Sessions_Table[session_date])),"Yes","No")</f>
        <v>No</v>
      </c>
    </row>
    <row r="188" spans="1:4" x14ac:dyDescent="0.25">
      <c r="A188">
        <v>53</v>
      </c>
      <c r="B188">
        <v>1008</v>
      </c>
      <c r="C188">
        <v>1</v>
      </c>
      <c r="D188" s="19" t="str">
        <f>IF(MONTH(_xlfn.XLOOKUP(Attendance_Table[[#This Row],[session_id]],Sessions_Table[session_id],Sessions_Table[session_date]))=MONTH(MAX(Sessions_Table[session_date])),"Yes","No")</f>
        <v>No</v>
      </c>
    </row>
    <row r="189" spans="1:4" x14ac:dyDescent="0.25">
      <c r="A189">
        <v>53</v>
      </c>
      <c r="B189">
        <v>1012</v>
      </c>
      <c r="C189">
        <v>1</v>
      </c>
      <c r="D189" s="19" t="str">
        <f>IF(MONTH(_xlfn.XLOOKUP(Attendance_Table[[#This Row],[session_id]],Sessions_Table[session_id],Sessions_Table[session_date]))=MONTH(MAX(Sessions_Table[session_date])),"Yes","No")</f>
        <v>No</v>
      </c>
    </row>
    <row r="190" spans="1:4" x14ac:dyDescent="0.25">
      <c r="A190">
        <v>53</v>
      </c>
      <c r="B190">
        <v>1024</v>
      </c>
      <c r="C190">
        <v>1</v>
      </c>
      <c r="D190" s="19" t="str">
        <f>IF(MONTH(_xlfn.XLOOKUP(Attendance_Table[[#This Row],[session_id]],Sessions_Table[session_id],Sessions_Table[session_date]))=MONTH(MAX(Sessions_Table[session_date])),"Yes","No")</f>
        <v>No</v>
      </c>
    </row>
    <row r="191" spans="1:4" x14ac:dyDescent="0.25">
      <c r="A191">
        <v>54</v>
      </c>
      <c r="B191">
        <v>1008</v>
      </c>
      <c r="C191">
        <v>1</v>
      </c>
      <c r="D191" s="19" t="str">
        <f>IF(MONTH(_xlfn.XLOOKUP(Attendance_Table[[#This Row],[session_id]],Sessions_Table[session_id],Sessions_Table[session_date]))=MONTH(MAX(Sessions_Table[session_date])),"Yes","No")</f>
        <v>No</v>
      </c>
    </row>
    <row r="192" spans="1:4" x14ac:dyDescent="0.25">
      <c r="A192">
        <v>54</v>
      </c>
      <c r="B192">
        <v>1012</v>
      </c>
      <c r="C192">
        <v>1</v>
      </c>
      <c r="D192" s="19" t="str">
        <f>IF(MONTH(_xlfn.XLOOKUP(Attendance_Table[[#This Row],[session_id]],Sessions_Table[session_id],Sessions_Table[session_date]))=MONTH(MAX(Sessions_Table[session_date])),"Yes","No")</f>
        <v>No</v>
      </c>
    </row>
    <row r="193" spans="1:4" x14ac:dyDescent="0.25">
      <c r="A193">
        <v>54</v>
      </c>
      <c r="B193">
        <v>1024</v>
      </c>
      <c r="C193">
        <v>1</v>
      </c>
      <c r="D193" s="19" t="str">
        <f>IF(MONTH(_xlfn.XLOOKUP(Attendance_Table[[#This Row],[session_id]],Sessions_Table[session_id],Sessions_Table[session_date]))=MONTH(MAX(Sessions_Table[session_date])),"Yes","No")</f>
        <v>No</v>
      </c>
    </row>
    <row r="194" spans="1:4" x14ac:dyDescent="0.25">
      <c r="A194">
        <v>55</v>
      </c>
      <c r="B194">
        <v>1008</v>
      </c>
      <c r="C194">
        <v>1</v>
      </c>
      <c r="D194" s="19" t="str">
        <f>IF(MONTH(_xlfn.XLOOKUP(Attendance_Table[[#This Row],[session_id]],Sessions_Table[session_id],Sessions_Table[session_date]))=MONTH(MAX(Sessions_Table[session_date])),"Yes","No")</f>
        <v>No</v>
      </c>
    </row>
    <row r="195" spans="1:4" x14ac:dyDescent="0.25">
      <c r="A195">
        <v>55</v>
      </c>
      <c r="B195">
        <v>1012</v>
      </c>
      <c r="C195">
        <v>1</v>
      </c>
      <c r="D195" s="19" t="str">
        <f>IF(MONTH(_xlfn.XLOOKUP(Attendance_Table[[#This Row],[session_id]],Sessions_Table[session_id],Sessions_Table[session_date]))=MONTH(MAX(Sessions_Table[session_date])),"Yes","No")</f>
        <v>No</v>
      </c>
    </row>
    <row r="196" spans="1:4" x14ac:dyDescent="0.25">
      <c r="A196">
        <v>55</v>
      </c>
      <c r="B196">
        <v>1024</v>
      </c>
      <c r="C196">
        <v>0</v>
      </c>
      <c r="D196" s="19" t="str">
        <f>IF(MONTH(_xlfn.XLOOKUP(Attendance_Table[[#This Row],[session_id]],Sessions_Table[session_id],Sessions_Table[session_date]))=MONTH(MAX(Sessions_Table[session_date])),"Yes","No")</f>
        <v>No</v>
      </c>
    </row>
    <row r="197" spans="1:4" x14ac:dyDescent="0.25">
      <c r="A197">
        <v>56</v>
      </c>
      <c r="B197">
        <v>1008</v>
      </c>
      <c r="C197">
        <v>1</v>
      </c>
      <c r="D197" s="19" t="str">
        <f>IF(MONTH(_xlfn.XLOOKUP(Attendance_Table[[#This Row],[session_id]],Sessions_Table[session_id],Sessions_Table[session_date]))=MONTH(MAX(Sessions_Table[session_date])),"Yes","No")</f>
        <v>No</v>
      </c>
    </row>
    <row r="198" spans="1:4" x14ac:dyDescent="0.25">
      <c r="A198">
        <v>56</v>
      </c>
      <c r="B198">
        <v>1012</v>
      </c>
      <c r="C198">
        <v>1</v>
      </c>
      <c r="D198" s="19" t="str">
        <f>IF(MONTH(_xlfn.XLOOKUP(Attendance_Table[[#This Row],[session_id]],Sessions_Table[session_id],Sessions_Table[session_date]))=MONTH(MAX(Sessions_Table[session_date])),"Yes","No")</f>
        <v>No</v>
      </c>
    </row>
    <row r="199" spans="1:4" x14ac:dyDescent="0.25">
      <c r="A199">
        <v>56</v>
      </c>
      <c r="B199">
        <v>1024</v>
      </c>
      <c r="C199">
        <v>1</v>
      </c>
      <c r="D199" s="19" t="str">
        <f>IF(MONTH(_xlfn.XLOOKUP(Attendance_Table[[#This Row],[session_id]],Sessions_Table[session_id],Sessions_Table[session_date]))=MONTH(MAX(Sessions_Table[session_date])),"Yes","No")</f>
        <v>No</v>
      </c>
    </row>
    <row r="200" spans="1:4" x14ac:dyDescent="0.25">
      <c r="A200">
        <v>57</v>
      </c>
      <c r="B200">
        <v>1008</v>
      </c>
      <c r="C200">
        <v>1</v>
      </c>
      <c r="D200" s="19" t="str">
        <f>IF(MONTH(_xlfn.XLOOKUP(Attendance_Table[[#This Row],[session_id]],Sessions_Table[session_id],Sessions_Table[session_date]))=MONTH(MAX(Sessions_Table[session_date])),"Yes","No")</f>
        <v>No</v>
      </c>
    </row>
    <row r="201" spans="1:4" x14ac:dyDescent="0.25">
      <c r="A201">
        <v>57</v>
      </c>
      <c r="B201">
        <v>1012</v>
      </c>
      <c r="C201">
        <v>1</v>
      </c>
      <c r="D201" s="19" t="str">
        <f>IF(MONTH(_xlfn.XLOOKUP(Attendance_Table[[#This Row],[session_id]],Sessions_Table[session_id],Sessions_Table[session_date]))=MONTH(MAX(Sessions_Table[session_date])),"Yes","No")</f>
        <v>No</v>
      </c>
    </row>
    <row r="202" spans="1:4" x14ac:dyDescent="0.25">
      <c r="A202">
        <v>57</v>
      </c>
      <c r="B202">
        <v>1024</v>
      </c>
      <c r="C202">
        <v>1</v>
      </c>
      <c r="D202" s="19" t="str">
        <f>IF(MONTH(_xlfn.XLOOKUP(Attendance_Table[[#This Row],[session_id]],Sessions_Table[session_id],Sessions_Table[session_date]))=MONTH(MAX(Sessions_Table[session_date])),"Yes","No")</f>
        <v>No</v>
      </c>
    </row>
    <row r="203" spans="1:4" x14ac:dyDescent="0.25">
      <c r="A203">
        <v>58</v>
      </c>
      <c r="B203">
        <v>1008</v>
      </c>
      <c r="C203">
        <v>1</v>
      </c>
      <c r="D203" s="19" t="str">
        <f>IF(MONTH(_xlfn.XLOOKUP(Attendance_Table[[#This Row],[session_id]],Sessions_Table[session_id],Sessions_Table[session_date]))=MONTH(MAX(Sessions_Table[session_date])),"Yes","No")</f>
        <v>No</v>
      </c>
    </row>
    <row r="204" spans="1:4" x14ac:dyDescent="0.25">
      <c r="A204">
        <v>58</v>
      </c>
      <c r="B204">
        <v>1012</v>
      </c>
      <c r="C204">
        <v>1</v>
      </c>
      <c r="D204" s="19" t="str">
        <f>IF(MONTH(_xlfn.XLOOKUP(Attendance_Table[[#This Row],[session_id]],Sessions_Table[session_id],Sessions_Table[session_date]))=MONTH(MAX(Sessions_Table[session_date])),"Yes","No")</f>
        <v>No</v>
      </c>
    </row>
    <row r="205" spans="1:4" x14ac:dyDescent="0.25">
      <c r="A205">
        <v>58</v>
      </c>
      <c r="B205">
        <v>1024</v>
      </c>
      <c r="C205">
        <v>1</v>
      </c>
      <c r="D205" s="19" t="str">
        <f>IF(MONTH(_xlfn.XLOOKUP(Attendance_Table[[#This Row],[session_id]],Sessions_Table[session_id],Sessions_Table[session_date]))=MONTH(MAX(Sessions_Table[session_date])),"Yes","No")</f>
        <v>No</v>
      </c>
    </row>
    <row r="206" spans="1:4" x14ac:dyDescent="0.25">
      <c r="A206">
        <v>59</v>
      </c>
      <c r="B206">
        <v>1003</v>
      </c>
      <c r="C206">
        <v>1</v>
      </c>
      <c r="D206" s="19" t="str">
        <f>IF(MONTH(_xlfn.XLOOKUP(Attendance_Table[[#This Row],[session_id]],Sessions_Table[session_id],Sessions_Table[session_date]))=MONTH(MAX(Sessions_Table[session_date])),"Yes","No")</f>
        <v>No</v>
      </c>
    </row>
    <row r="207" spans="1:4" x14ac:dyDescent="0.25">
      <c r="A207">
        <v>59</v>
      </c>
      <c r="B207">
        <v>1025</v>
      </c>
      <c r="C207">
        <v>1</v>
      </c>
      <c r="D207" s="19" t="str">
        <f>IF(MONTH(_xlfn.XLOOKUP(Attendance_Table[[#This Row],[session_id]],Sessions_Table[session_id],Sessions_Table[session_date]))=MONTH(MAX(Sessions_Table[session_date])),"Yes","No")</f>
        <v>No</v>
      </c>
    </row>
    <row r="208" spans="1:4" x14ac:dyDescent="0.25">
      <c r="A208">
        <v>60</v>
      </c>
      <c r="B208">
        <v>1003</v>
      </c>
      <c r="C208">
        <v>0</v>
      </c>
      <c r="D208" s="19" t="str">
        <f>IF(MONTH(_xlfn.XLOOKUP(Attendance_Table[[#This Row],[session_id]],Sessions_Table[session_id],Sessions_Table[session_date]))=MONTH(MAX(Sessions_Table[session_date])),"Yes","No")</f>
        <v>No</v>
      </c>
    </row>
    <row r="209" spans="1:4" x14ac:dyDescent="0.25">
      <c r="A209">
        <v>60</v>
      </c>
      <c r="B209">
        <v>1025</v>
      </c>
      <c r="C209">
        <v>1</v>
      </c>
      <c r="D209" s="19" t="str">
        <f>IF(MONTH(_xlfn.XLOOKUP(Attendance_Table[[#This Row],[session_id]],Sessions_Table[session_id],Sessions_Table[session_date]))=MONTH(MAX(Sessions_Table[session_date])),"Yes","No")</f>
        <v>No</v>
      </c>
    </row>
    <row r="210" spans="1:4" x14ac:dyDescent="0.25">
      <c r="A210">
        <v>61</v>
      </c>
      <c r="B210">
        <v>1003</v>
      </c>
      <c r="C210">
        <v>1</v>
      </c>
      <c r="D210" s="19" t="str">
        <f>IF(MONTH(_xlfn.XLOOKUP(Attendance_Table[[#This Row],[session_id]],Sessions_Table[session_id],Sessions_Table[session_date]))=MONTH(MAX(Sessions_Table[session_date])),"Yes","No")</f>
        <v>No</v>
      </c>
    </row>
    <row r="211" spans="1:4" x14ac:dyDescent="0.25">
      <c r="A211">
        <v>61</v>
      </c>
      <c r="B211">
        <v>1025</v>
      </c>
      <c r="C211">
        <v>1</v>
      </c>
      <c r="D211" s="19" t="str">
        <f>IF(MONTH(_xlfn.XLOOKUP(Attendance_Table[[#This Row],[session_id]],Sessions_Table[session_id],Sessions_Table[session_date]))=MONTH(MAX(Sessions_Table[session_date])),"Yes","No")</f>
        <v>No</v>
      </c>
    </row>
    <row r="212" spans="1:4" x14ac:dyDescent="0.25">
      <c r="A212">
        <v>62</v>
      </c>
      <c r="B212">
        <v>1003</v>
      </c>
      <c r="C212">
        <v>1</v>
      </c>
      <c r="D212" s="19" t="str">
        <f>IF(MONTH(_xlfn.XLOOKUP(Attendance_Table[[#This Row],[session_id]],Sessions_Table[session_id],Sessions_Table[session_date]))=MONTH(MAX(Sessions_Table[session_date])),"Yes","No")</f>
        <v>No</v>
      </c>
    </row>
    <row r="213" spans="1:4" x14ac:dyDescent="0.25">
      <c r="A213">
        <v>62</v>
      </c>
      <c r="B213">
        <v>1025</v>
      </c>
      <c r="C213">
        <v>1</v>
      </c>
      <c r="D213" s="19" t="str">
        <f>IF(MONTH(_xlfn.XLOOKUP(Attendance_Table[[#This Row],[session_id]],Sessions_Table[session_id],Sessions_Table[session_date]))=MONTH(MAX(Sessions_Table[session_date])),"Yes","No")</f>
        <v>No</v>
      </c>
    </row>
    <row r="214" spans="1:4" x14ac:dyDescent="0.25">
      <c r="A214">
        <v>63</v>
      </c>
      <c r="B214">
        <v>1003</v>
      </c>
      <c r="C214">
        <v>1</v>
      </c>
      <c r="D214" s="19" t="str">
        <f>IF(MONTH(_xlfn.XLOOKUP(Attendance_Table[[#This Row],[session_id]],Sessions_Table[session_id],Sessions_Table[session_date]))=MONTH(MAX(Sessions_Table[session_date])),"Yes","No")</f>
        <v>No</v>
      </c>
    </row>
    <row r="215" spans="1:4" x14ac:dyDescent="0.25">
      <c r="A215">
        <v>63</v>
      </c>
      <c r="B215">
        <v>1025</v>
      </c>
      <c r="C215">
        <v>1</v>
      </c>
      <c r="D215" s="19" t="str">
        <f>IF(MONTH(_xlfn.XLOOKUP(Attendance_Table[[#This Row],[session_id]],Sessions_Table[session_id],Sessions_Table[session_date]))=MONTH(MAX(Sessions_Table[session_date])),"Yes","No")</f>
        <v>No</v>
      </c>
    </row>
    <row r="216" spans="1:4" x14ac:dyDescent="0.25">
      <c r="A216">
        <v>64</v>
      </c>
      <c r="B216">
        <v>1003</v>
      </c>
      <c r="C216">
        <v>1</v>
      </c>
      <c r="D216" s="19" t="str">
        <f>IF(MONTH(_xlfn.XLOOKUP(Attendance_Table[[#This Row],[session_id]],Sessions_Table[session_id],Sessions_Table[session_date]))=MONTH(MAX(Sessions_Table[session_date])),"Yes","No")</f>
        <v>No</v>
      </c>
    </row>
    <row r="217" spans="1:4" x14ac:dyDescent="0.25">
      <c r="A217">
        <v>64</v>
      </c>
      <c r="B217">
        <v>1025</v>
      </c>
      <c r="C217">
        <v>1</v>
      </c>
      <c r="D217" s="19" t="str">
        <f>IF(MONTH(_xlfn.XLOOKUP(Attendance_Table[[#This Row],[session_id]],Sessions_Table[session_id],Sessions_Table[session_date]))=MONTH(MAX(Sessions_Table[session_date])),"Yes","No")</f>
        <v>No</v>
      </c>
    </row>
    <row r="218" spans="1:4" x14ac:dyDescent="0.25">
      <c r="A218">
        <v>65</v>
      </c>
      <c r="B218">
        <v>1003</v>
      </c>
      <c r="C218">
        <v>0</v>
      </c>
      <c r="D218" s="19" t="str">
        <f>IF(MONTH(_xlfn.XLOOKUP(Attendance_Table[[#This Row],[session_id]],Sessions_Table[session_id],Sessions_Table[session_date]))=MONTH(MAX(Sessions_Table[session_date])),"Yes","No")</f>
        <v>No</v>
      </c>
    </row>
    <row r="219" spans="1:4" x14ac:dyDescent="0.25">
      <c r="A219">
        <v>65</v>
      </c>
      <c r="B219">
        <v>1025</v>
      </c>
      <c r="C219">
        <v>1</v>
      </c>
      <c r="D219" s="19" t="str">
        <f>IF(MONTH(_xlfn.XLOOKUP(Attendance_Table[[#This Row],[session_id]],Sessions_Table[session_id],Sessions_Table[session_date]))=MONTH(MAX(Sessions_Table[session_date])),"Yes","No")</f>
        <v>No</v>
      </c>
    </row>
    <row r="220" spans="1:4" x14ac:dyDescent="0.25">
      <c r="A220">
        <v>66</v>
      </c>
      <c r="B220">
        <v>1003</v>
      </c>
      <c r="C220">
        <v>1</v>
      </c>
      <c r="D220" s="19" t="str">
        <f>IF(MONTH(_xlfn.XLOOKUP(Attendance_Table[[#This Row],[session_id]],Sessions_Table[session_id],Sessions_Table[session_date]))=MONTH(MAX(Sessions_Table[session_date])),"Yes","No")</f>
        <v>No</v>
      </c>
    </row>
    <row r="221" spans="1:4" x14ac:dyDescent="0.25">
      <c r="A221">
        <v>66</v>
      </c>
      <c r="B221">
        <v>1025</v>
      </c>
      <c r="C221">
        <v>1</v>
      </c>
      <c r="D221" s="19" t="str">
        <f>IF(MONTH(_xlfn.XLOOKUP(Attendance_Table[[#This Row],[session_id]],Sessions_Table[session_id],Sessions_Table[session_date]))=MONTH(MAX(Sessions_Table[session_date])),"Yes","No")</f>
        <v>No</v>
      </c>
    </row>
    <row r="222" spans="1:4" x14ac:dyDescent="0.25">
      <c r="A222">
        <v>67</v>
      </c>
      <c r="B222">
        <v>1003</v>
      </c>
      <c r="C222">
        <v>1</v>
      </c>
      <c r="D222" s="19" t="str">
        <f>IF(MONTH(_xlfn.XLOOKUP(Attendance_Table[[#This Row],[session_id]],Sessions_Table[session_id],Sessions_Table[session_date]))=MONTH(MAX(Sessions_Table[session_date])),"Yes","No")</f>
        <v>No</v>
      </c>
    </row>
    <row r="223" spans="1:4" x14ac:dyDescent="0.25">
      <c r="A223">
        <v>67</v>
      </c>
      <c r="B223">
        <v>1025</v>
      </c>
      <c r="C223">
        <v>1</v>
      </c>
      <c r="D223" s="19" t="str">
        <f>IF(MONTH(_xlfn.XLOOKUP(Attendance_Table[[#This Row],[session_id]],Sessions_Table[session_id],Sessions_Table[session_date]))=MONTH(MAX(Sessions_Table[session_date])),"Yes","No")</f>
        <v>No</v>
      </c>
    </row>
    <row r="224" spans="1:4" x14ac:dyDescent="0.25">
      <c r="A224">
        <v>68</v>
      </c>
      <c r="B224">
        <v>1003</v>
      </c>
      <c r="C224">
        <v>1</v>
      </c>
      <c r="D224" s="19" t="str">
        <f>IF(MONTH(_xlfn.XLOOKUP(Attendance_Table[[#This Row],[session_id]],Sessions_Table[session_id],Sessions_Table[session_date]))=MONTH(MAX(Sessions_Table[session_date])),"Yes","No")</f>
        <v>No</v>
      </c>
    </row>
    <row r="225" spans="1:4" x14ac:dyDescent="0.25">
      <c r="A225">
        <v>68</v>
      </c>
      <c r="B225">
        <v>1025</v>
      </c>
      <c r="C225">
        <v>1</v>
      </c>
      <c r="D225" s="19" t="str">
        <f>IF(MONTH(_xlfn.XLOOKUP(Attendance_Table[[#This Row],[session_id]],Sessions_Table[session_id],Sessions_Table[session_date]))=MONTH(MAX(Sessions_Table[session_date])),"Yes","No")</f>
        <v>No</v>
      </c>
    </row>
    <row r="226" spans="1:4" x14ac:dyDescent="0.25">
      <c r="A226">
        <v>69</v>
      </c>
      <c r="B226">
        <v>1003</v>
      </c>
      <c r="C226">
        <v>0</v>
      </c>
      <c r="D226" s="19" t="str">
        <f>IF(MONTH(_xlfn.XLOOKUP(Attendance_Table[[#This Row],[session_id]],Sessions_Table[session_id],Sessions_Table[session_date]))=MONTH(MAX(Sessions_Table[session_date])),"Yes","No")</f>
        <v>No</v>
      </c>
    </row>
    <row r="227" spans="1:4" x14ac:dyDescent="0.25">
      <c r="A227">
        <v>69</v>
      </c>
      <c r="B227">
        <v>1025</v>
      </c>
      <c r="C227">
        <v>0</v>
      </c>
      <c r="D227" s="19" t="str">
        <f>IF(MONTH(_xlfn.XLOOKUP(Attendance_Table[[#This Row],[session_id]],Sessions_Table[session_id],Sessions_Table[session_date]))=MONTH(MAX(Sessions_Table[session_date])),"Yes","No")</f>
        <v>No</v>
      </c>
    </row>
    <row r="228" spans="1:4" x14ac:dyDescent="0.25">
      <c r="A228">
        <v>70</v>
      </c>
      <c r="B228">
        <v>1003</v>
      </c>
      <c r="C228">
        <v>1</v>
      </c>
      <c r="D228" s="19" t="str">
        <f>IF(MONTH(_xlfn.XLOOKUP(Attendance_Table[[#This Row],[session_id]],Sessions_Table[session_id],Sessions_Table[session_date]))=MONTH(MAX(Sessions_Table[session_date])),"Yes","No")</f>
        <v>No</v>
      </c>
    </row>
    <row r="229" spans="1:4" x14ac:dyDescent="0.25">
      <c r="A229">
        <v>70</v>
      </c>
      <c r="B229">
        <v>1025</v>
      </c>
      <c r="C229">
        <v>1</v>
      </c>
      <c r="D229" s="19" t="str">
        <f>IF(MONTH(_xlfn.XLOOKUP(Attendance_Table[[#This Row],[session_id]],Sessions_Table[session_id],Sessions_Table[session_date]))=MONTH(MAX(Sessions_Table[session_date])),"Yes","No")</f>
        <v>No</v>
      </c>
    </row>
    <row r="230" spans="1:4" x14ac:dyDescent="0.25">
      <c r="A230">
        <v>71</v>
      </c>
      <c r="B230">
        <v>1003</v>
      </c>
      <c r="C230">
        <v>1</v>
      </c>
      <c r="D230" s="19" t="str">
        <f>IF(MONTH(_xlfn.XLOOKUP(Attendance_Table[[#This Row],[session_id]],Sessions_Table[session_id],Sessions_Table[session_date]))=MONTH(MAX(Sessions_Table[session_date])),"Yes","No")</f>
        <v>No</v>
      </c>
    </row>
    <row r="231" spans="1:4" x14ac:dyDescent="0.25">
      <c r="A231">
        <v>71</v>
      </c>
      <c r="B231">
        <v>1025</v>
      </c>
      <c r="C231">
        <v>1</v>
      </c>
      <c r="D231" s="19" t="str">
        <f>IF(MONTH(_xlfn.XLOOKUP(Attendance_Table[[#This Row],[session_id]],Sessions_Table[session_id],Sessions_Table[session_date]))=MONTH(MAX(Sessions_Table[session_date])),"Yes","No")</f>
        <v>No</v>
      </c>
    </row>
    <row r="232" spans="1:4" x14ac:dyDescent="0.25">
      <c r="A232">
        <v>72</v>
      </c>
      <c r="B232">
        <v>1003</v>
      </c>
      <c r="C232">
        <v>1</v>
      </c>
      <c r="D232" s="19" t="str">
        <f>IF(MONTH(_xlfn.XLOOKUP(Attendance_Table[[#This Row],[session_id]],Sessions_Table[session_id],Sessions_Table[session_date]))=MONTH(MAX(Sessions_Table[session_date])),"Yes","No")</f>
        <v>No</v>
      </c>
    </row>
    <row r="233" spans="1:4" x14ac:dyDescent="0.25">
      <c r="A233">
        <v>72</v>
      </c>
      <c r="B233">
        <v>1025</v>
      </c>
      <c r="C233">
        <v>1</v>
      </c>
      <c r="D233" s="19" t="str">
        <f>IF(MONTH(_xlfn.XLOOKUP(Attendance_Table[[#This Row],[session_id]],Sessions_Table[session_id],Sessions_Table[session_date]))=MONTH(MAX(Sessions_Table[session_date])),"Yes","No")</f>
        <v>No</v>
      </c>
    </row>
    <row r="234" spans="1:4" x14ac:dyDescent="0.25">
      <c r="A234">
        <v>73</v>
      </c>
      <c r="B234">
        <v>1001</v>
      </c>
      <c r="C234">
        <v>1</v>
      </c>
      <c r="D234" s="19" t="str">
        <f>IF(MONTH(_xlfn.XLOOKUP(Attendance_Table[[#This Row],[session_id]],Sessions_Table[session_id],Sessions_Table[session_date]))=MONTH(MAX(Sessions_Table[session_date])),"Yes","No")</f>
        <v>No</v>
      </c>
    </row>
    <row r="235" spans="1:4" x14ac:dyDescent="0.25">
      <c r="A235">
        <v>73</v>
      </c>
      <c r="B235">
        <v>1004</v>
      </c>
      <c r="C235">
        <v>1</v>
      </c>
      <c r="D235" s="19" t="str">
        <f>IF(MONTH(_xlfn.XLOOKUP(Attendance_Table[[#This Row],[session_id]],Sessions_Table[session_id],Sessions_Table[session_date]))=MONTH(MAX(Sessions_Table[session_date])),"Yes","No")</f>
        <v>No</v>
      </c>
    </row>
    <row r="236" spans="1:4" x14ac:dyDescent="0.25">
      <c r="A236">
        <v>73</v>
      </c>
      <c r="B236">
        <v>1022</v>
      </c>
      <c r="C236">
        <v>1</v>
      </c>
      <c r="D236" s="19" t="str">
        <f>IF(MONTH(_xlfn.XLOOKUP(Attendance_Table[[#This Row],[session_id]],Sessions_Table[session_id],Sessions_Table[session_date]))=MONTH(MAX(Sessions_Table[session_date])),"Yes","No")</f>
        <v>No</v>
      </c>
    </row>
    <row r="237" spans="1:4" x14ac:dyDescent="0.25">
      <c r="A237">
        <v>73</v>
      </c>
      <c r="B237">
        <v>1026</v>
      </c>
      <c r="C237">
        <v>1</v>
      </c>
      <c r="D237" s="19" t="str">
        <f>IF(MONTH(_xlfn.XLOOKUP(Attendance_Table[[#This Row],[session_id]],Sessions_Table[session_id],Sessions_Table[session_date]))=MONTH(MAX(Sessions_Table[session_date])),"Yes","No")</f>
        <v>No</v>
      </c>
    </row>
    <row r="238" spans="1:4" x14ac:dyDescent="0.25">
      <c r="A238">
        <v>74</v>
      </c>
      <c r="B238">
        <v>1001</v>
      </c>
      <c r="C238">
        <v>0</v>
      </c>
      <c r="D238" s="19" t="str">
        <f>IF(MONTH(_xlfn.XLOOKUP(Attendance_Table[[#This Row],[session_id]],Sessions_Table[session_id],Sessions_Table[session_date]))=MONTH(MAX(Sessions_Table[session_date])),"Yes","No")</f>
        <v>No</v>
      </c>
    </row>
    <row r="239" spans="1:4" x14ac:dyDescent="0.25">
      <c r="A239">
        <v>74</v>
      </c>
      <c r="B239">
        <v>1004</v>
      </c>
      <c r="C239">
        <v>0</v>
      </c>
      <c r="D239" s="19" t="str">
        <f>IF(MONTH(_xlfn.XLOOKUP(Attendance_Table[[#This Row],[session_id]],Sessions_Table[session_id],Sessions_Table[session_date]))=MONTH(MAX(Sessions_Table[session_date])),"Yes","No")</f>
        <v>No</v>
      </c>
    </row>
    <row r="240" spans="1:4" x14ac:dyDescent="0.25">
      <c r="A240">
        <v>74</v>
      </c>
      <c r="B240">
        <v>1022</v>
      </c>
      <c r="C240">
        <v>1</v>
      </c>
      <c r="D240" s="19" t="str">
        <f>IF(MONTH(_xlfn.XLOOKUP(Attendance_Table[[#This Row],[session_id]],Sessions_Table[session_id],Sessions_Table[session_date]))=MONTH(MAX(Sessions_Table[session_date])),"Yes","No")</f>
        <v>No</v>
      </c>
    </row>
    <row r="241" spans="1:4" x14ac:dyDescent="0.25">
      <c r="A241">
        <v>74</v>
      </c>
      <c r="B241">
        <v>1026</v>
      </c>
      <c r="C241">
        <v>1</v>
      </c>
      <c r="D241" s="19" t="str">
        <f>IF(MONTH(_xlfn.XLOOKUP(Attendance_Table[[#This Row],[session_id]],Sessions_Table[session_id],Sessions_Table[session_date]))=MONTH(MAX(Sessions_Table[session_date])),"Yes","No")</f>
        <v>No</v>
      </c>
    </row>
    <row r="242" spans="1:4" x14ac:dyDescent="0.25">
      <c r="A242">
        <v>75</v>
      </c>
      <c r="B242">
        <v>1001</v>
      </c>
      <c r="C242">
        <v>1</v>
      </c>
      <c r="D242" s="19" t="str">
        <f>IF(MONTH(_xlfn.XLOOKUP(Attendance_Table[[#This Row],[session_id]],Sessions_Table[session_id],Sessions_Table[session_date]))=MONTH(MAX(Sessions_Table[session_date])),"Yes","No")</f>
        <v>No</v>
      </c>
    </row>
    <row r="243" spans="1:4" x14ac:dyDescent="0.25">
      <c r="A243">
        <v>75</v>
      </c>
      <c r="B243">
        <v>1004</v>
      </c>
      <c r="C243">
        <v>1</v>
      </c>
      <c r="D243" s="19" t="str">
        <f>IF(MONTH(_xlfn.XLOOKUP(Attendance_Table[[#This Row],[session_id]],Sessions_Table[session_id],Sessions_Table[session_date]))=MONTH(MAX(Sessions_Table[session_date])),"Yes","No")</f>
        <v>No</v>
      </c>
    </row>
    <row r="244" spans="1:4" x14ac:dyDescent="0.25">
      <c r="A244">
        <v>75</v>
      </c>
      <c r="B244">
        <v>1022</v>
      </c>
      <c r="C244">
        <v>1</v>
      </c>
      <c r="D244" s="19" t="str">
        <f>IF(MONTH(_xlfn.XLOOKUP(Attendance_Table[[#This Row],[session_id]],Sessions_Table[session_id],Sessions_Table[session_date]))=MONTH(MAX(Sessions_Table[session_date])),"Yes","No")</f>
        <v>No</v>
      </c>
    </row>
    <row r="245" spans="1:4" x14ac:dyDescent="0.25">
      <c r="A245">
        <v>75</v>
      </c>
      <c r="B245">
        <v>1026</v>
      </c>
      <c r="C245">
        <v>0</v>
      </c>
      <c r="D245" s="19" t="str">
        <f>IF(MONTH(_xlfn.XLOOKUP(Attendance_Table[[#This Row],[session_id]],Sessions_Table[session_id],Sessions_Table[session_date]))=MONTH(MAX(Sessions_Table[session_date])),"Yes","No")</f>
        <v>No</v>
      </c>
    </row>
    <row r="246" spans="1:4" x14ac:dyDescent="0.25">
      <c r="A246">
        <v>76</v>
      </c>
      <c r="B246">
        <v>1001</v>
      </c>
      <c r="C246">
        <v>1</v>
      </c>
      <c r="D246" s="19" t="str">
        <f>IF(MONTH(_xlfn.XLOOKUP(Attendance_Table[[#This Row],[session_id]],Sessions_Table[session_id],Sessions_Table[session_date]))=MONTH(MAX(Sessions_Table[session_date])),"Yes","No")</f>
        <v>No</v>
      </c>
    </row>
    <row r="247" spans="1:4" x14ac:dyDescent="0.25">
      <c r="A247">
        <v>76</v>
      </c>
      <c r="B247">
        <v>1004</v>
      </c>
      <c r="C247">
        <v>1</v>
      </c>
      <c r="D247" s="19" t="str">
        <f>IF(MONTH(_xlfn.XLOOKUP(Attendance_Table[[#This Row],[session_id]],Sessions_Table[session_id],Sessions_Table[session_date]))=MONTH(MAX(Sessions_Table[session_date])),"Yes","No")</f>
        <v>No</v>
      </c>
    </row>
    <row r="248" spans="1:4" x14ac:dyDescent="0.25">
      <c r="A248">
        <v>76</v>
      </c>
      <c r="B248">
        <v>1022</v>
      </c>
      <c r="C248">
        <v>1</v>
      </c>
      <c r="D248" s="19" t="str">
        <f>IF(MONTH(_xlfn.XLOOKUP(Attendance_Table[[#This Row],[session_id]],Sessions_Table[session_id],Sessions_Table[session_date]))=MONTH(MAX(Sessions_Table[session_date])),"Yes","No")</f>
        <v>No</v>
      </c>
    </row>
    <row r="249" spans="1:4" x14ac:dyDescent="0.25">
      <c r="A249">
        <v>76</v>
      </c>
      <c r="B249">
        <v>1026</v>
      </c>
      <c r="C249">
        <v>0</v>
      </c>
      <c r="D249" s="19" t="str">
        <f>IF(MONTH(_xlfn.XLOOKUP(Attendance_Table[[#This Row],[session_id]],Sessions_Table[session_id],Sessions_Table[session_date]))=MONTH(MAX(Sessions_Table[session_date])),"Yes","No")</f>
        <v>No</v>
      </c>
    </row>
    <row r="250" spans="1:4" x14ac:dyDescent="0.25">
      <c r="A250">
        <v>77</v>
      </c>
      <c r="B250">
        <v>1001</v>
      </c>
      <c r="C250">
        <v>1</v>
      </c>
      <c r="D250" s="19" t="str">
        <f>IF(MONTH(_xlfn.XLOOKUP(Attendance_Table[[#This Row],[session_id]],Sessions_Table[session_id],Sessions_Table[session_date]))=MONTH(MAX(Sessions_Table[session_date])),"Yes","No")</f>
        <v>No</v>
      </c>
    </row>
    <row r="251" spans="1:4" x14ac:dyDescent="0.25">
      <c r="A251">
        <v>77</v>
      </c>
      <c r="B251">
        <v>1004</v>
      </c>
      <c r="C251">
        <v>1</v>
      </c>
      <c r="D251" s="19" t="str">
        <f>IF(MONTH(_xlfn.XLOOKUP(Attendance_Table[[#This Row],[session_id]],Sessions_Table[session_id],Sessions_Table[session_date]))=MONTH(MAX(Sessions_Table[session_date])),"Yes","No")</f>
        <v>No</v>
      </c>
    </row>
    <row r="252" spans="1:4" x14ac:dyDescent="0.25">
      <c r="A252">
        <v>77</v>
      </c>
      <c r="B252">
        <v>1022</v>
      </c>
      <c r="C252">
        <v>1</v>
      </c>
      <c r="D252" s="19" t="str">
        <f>IF(MONTH(_xlfn.XLOOKUP(Attendance_Table[[#This Row],[session_id]],Sessions_Table[session_id],Sessions_Table[session_date]))=MONTH(MAX(Sessions_Table[session_date])),"Yes","No")</f>
        <v>No</v>
      </c>
    </row>
    <row r="253" spans="1:4" x14ac:dyDescent="0.25">
      <c r="A253">
        <v>77</v>
      </c>
      <c r="B253">
        <v>1026</v>
      </c>
      <c r="C253">
        <v>1</v>
      </c>
      <c r="D253" s="19" t="str">
        <f>IF(MONTH(_xlfn.XLOOKUP(Attendance_Table[[#This Row],[session_id]],Sessions_Table[session_id],Sessions_Table[session_date]))=MONTH(MAX(Sessions_Table[session_date])),"Yes","No")</f>
        <v>No</v>
      </c>
    </row>
    <row r="254" spans="1:4" x14ac:dyDescent="0.25">
      <c r="A254">
        <v>78</v>
      </c>
      <c r="B254">
        <v>1001</v>
      </c>
      <c r="C254">
        <v>1</v>
      </c>
      <c r="D254" s="19" t="str">
        <f>IF(MONTH(_xlfn.XLOOKUP(Attendance_Table[[#This Row],[session_id]],Sessions_Table[session_id],Sessions_Table[session_date]))=MONTH(MAX(Sessions_Table[session_date])),"Yes","No")</f>
        <v>No</v>
      </c>
    </row>
    <row r="255" spans="1:4" x14ac:dyDescent="0.25">
      <c r="A255">
        <v>78</v>
      </c>
      <c r="B255">
        <v>1004</v>
      </c>
      <c r="C255">
        <v>1</v>
      </c>
      <c r="D255" s="19" t="str">
        <f>IF(MONTH(_xlfn.XLOOKUP(Attendance_Table[[#This Row],[session_id]],Sessions_Table[session_id],Sessions_Table[session_date]))=MONTH(MAX(Sessions_Table[session_date])),"Yes","No")</f>
        <v>No</v>
      </c>
    </row>
    <row r="256" spans="1:4" x14ac:dyDescent="0.25">
      <c r="A256">
        <v>78</v>
      </c>
      <c r="B256">
        <v>1022</v>
      </c>
      <c r="C256">
        <v>1</v>
      </c>
      <c r="D256" s="19" t="str">
        <f>IF(MONTH(_xlfn.XLOOKUP(Attendance_Table[[#This Row],[session_id]],Sessions_Table[session_id],Sessions_Table[session_date]))=MONTH(MAX(Sessions_Table[session_date])),"Yes","No")</f>
        <v>No</v>
      </c>
    </row>
    <row r="257" spans="1:4" x14ac:dyDescent="0.25">
      <c r="A257">
        <v>78</v>
      </c>
      <c r="B257">
        <v>1026</v>
      </c>
      <c r="C257">
        <v>1</v>
      </c>
      <c r="D257" s="19" t="str">
        <f>IF(MONTH(_xlfn.XLOOKUP(Attendance_Table[[#This Row],[session_id]],Sessions_Table[session_id],Sessions_Table[session_date]))=MONTH(MAX(Sessions_Table[session_date])),"Yes","No")</f>
        <v>No</v>
      </c>
    </row>
    <row r="258" spans="1:4" x14ac:dyDescent="0.25">
      <c r="A258">
        <v>79</v>
      </c>
      <c r="B258">
        <v>1001</v>
      </c>
      <c r="C258">
        <v>1</v>
      </c>
      <c r="D258" s="19" t="str">
        <f>IF(MONTH(_xlfn.XLOOKUP(Attendance_Table[[#This Row],[session_id]],Sessions_Table[session_id],Sessions_Table[session_date]))=MONTH(MAX(Sessions_Table[session_date])),"Yes","No")</f>
        <v>No</v>
      </c>
    </row>
    <row r="259" spans="1:4" x14ac:dyDescent="0.25">
      <c r="A259">
        <v>79</v>
      </c>
      <c r="B259">
        <v>1004</v>
      </c>
      <c r="C259">
        <v>1</v>
      </c>
      <c r="D259" s="19" t="str">
        <f>IF(MONTH(_xlfn.XLOOKUP(Attendance_Table[[#This Row],[session_id]],Sessions_Table[session_id],Sessions_Table[session_date]))=MONTH(MAX(Sessions_Table[session_date])),"Yes","No")</f>
        <v>No</v>
      </c>
    </row>
    <row r="260" spans="1:4" x14ac:dyDescent="0.25">
      <c r="A260">
        <v>79</v>
      </c>
      <c r="B260">
        <v>1022</v>
      </c>
      <c r="C260">
        <v>1</v>
      </c>
      <c r="D260" s="19" t="str">
        <f>IF(MONTH(_xlfn.XLOOKUP(Attendance_Table[[#This Row],[session_id]],Sessions_Table[session_id],Sessions_Table[session_date]))=MONTH(MAX(Sessions_Table[session_date])),"Yes","No")</f>
        <v>No</v>
      </c>
    </row>
    <row r="261" spans="1:4" x14ac:dyDescent="0.25">
      <c r="A261">
        <v>79</v>
      </c>
      <c r="B261">
        <v>1026</v>
      </c>
      <c r="C261">
        <v>0</v>
      </c>
      <c r="D261" s="19" t="str">
        <f>IF(MONTH(_xlfn.XLOOKUP(Attendance_Table[[#This Row],[session_id]],Sessions_Table[session_id],Sessions_Table[session_date]))=MONTH(MAX(Sessions_Table[session_date])),"Yes","No")</f>
        <v>No</v>
      </c>
    </row>
    <row r="262" spans="1:4" x14ac:dyDescent="0.25">
      <c r="A262">
        <v>80</v>
      </c>
      <c r="B262">
        <v>1001</v>
      </c>
      <c r="C262">
        <v>1</v>
      </c>
      <c r="D262" s="19" t="str">
        <f>IF(MONTH(_xlfn.XLOOKUP(Attendance_Table[[#This Row],[session_id]],Sessions_Table[session_id],Sessions_Table[session_date]))=MONTH(MAX(Sessions_Table[session_date])),"Yes","No")</f>
        <v>No</v>
      </c>
    </row>
    <row r="263" spans="1:4" x14ac:dyDescent="0.25">
      <c r="A263">
        <v>80</v>
      </c>
      <c r="B263">
        <v>1004</v>
      </c>
      <c r="C263">
        <v>1</v>
      </c>
      <c r="D263" s="19" t="str">
        <f>IF(MONTH(_xlfn.XLOOKUP(Attendance_Table[[#This Row],[session_id]],Sessions_Table[session_id],Sessions_Table[session_date]))=MONTH(MAX(Sessions_Table[session_date])),"Yes","No")</f>
        <v>No</v>
      </c>
    </row>
    <row r="264" spans="1:4" x14ac:dyDescent="0.25">
      <c r="A264">
        <v>80</v>
      </c>
      <c r="B264">
        <v>1022</v>
      </c>
      <c r="C264">
        <v>1</v>
      </c>
      <c r="D264" s="19" t="str">
        <f>IF(MONTH(_xlfn.XLOOKUP(Attendance_Table[[#This Row],[session_id]],Sessions_Table[session_id],Sessions_Table[session_date]))=MONTH(MAX(Sessions_Table[session_date])),"Yes","No")</f>
        <v>No</v>
      </c>
    </row>
    <row r="265" spans="1:4" x14ac:dyDescent="0.25">
      <c r="A265">
        <v>80</v>
      </c>
      <c r="B265">
        <v>1026</v>
      </c>
      <c r="C265">
        <v>1</v>
      </c>
      <c r="D265" s="19" t="str">
        <f>IF(MONTH(_xlfn.XLOOKUP(Attendance_Table[[#This Row],[session_id]],Sessions_Table[session_id],Sessions_Table[session_date]))=MONTH(MAX(Sessions_Table[session_date])),"Yes","No")</f>
        <v>No</v>
      </c>
    </row>
    <row r="266" spans="1:4" x14ac:dyDescent="0.25">
      <c r="A266">
        <v>81</v>
      </c>
      <c r="B266">
        <v>1001</v>
      </c>
      <c r="C266">
        <v>1</v>
      </c>
      <c r="D266" s="19" t="str">
        <f>IF(MONTH(_xlfn.XLOOKUP(Attendance_Table[[#This Row],[session_id]],Sessions_Table[session_id],Sessions_Table[session_date]))=MONTH(MAX(Sessions_Table[session_date])),"Yes","No")</f>
        <v>No</v>
      </c>
    </row>
    <row r="267" spans="1:4" x14ac:dyDescent="0.25">
      <c r="A267">
        <v>81</v>
      </c>
      <c r="B267">
        <v>1004</v>
      </c>
      <c r="C267">
        <v>0</v>
      </c>
      <c r="D267" s="19" t="str">
        <f>IF(MONTH(_xlfn.XLOOKUP(Attendance_Table[[#This Row],[session_id]],Sessions_Table[session_id],Sessions_Table[session_date]))=MONTH(MAX(Sessions_Table[session_date])),"Yes","No")</f>
        <v>No</v>
      </c>
    </row>
    <row r="268" spans="1:4" x14ac:dyDescent="0.25">
      <c r="A268">
        <v>81</v>
      </c>
      <c r="B268">
        <v>1022</v>
      </c>
      <c r="C268">
        <v>1</v>
      </c>
      <c r="D268" s="19" t="str">
        <f>IF(MONTH(_xlfn.XLOOKUP(Attendance_Table[[#This Row],[session_id]],Sessions_Table[session_id],Sessions_Table[session_date]))=MONTH(MAX(Sessions_Table[session_date])),"Yes","No")</f>
        <v>No</v>
      </c>
    </row>
    <row r="269" spans="1:4" x14ac:dyDescent="0.25">
      <c r="A269">
        <v>81</v>
      </c>
      <c r="B269">
        <v>1026</v>
      </c>
      <c r="C269">
        <v>1</v>
      </c>
      <c r="D269" s="19" t="str">
        <f>IF(MONTH(_xlfn.XLOOKUP(Attendance_Table[[#This Row],[session_id]],Sessions_Table[session_id],Sessions_Table[session_date]))=MONTH(MAX(Sessions_Table[session_date])),"Yes","No")</f>
        <v>No</v>
      </c>
    </row>
    <row r="270" spans="1:4" x14ac:dyDescent="0.25">
      <c r="A270">
        <v>82</v>
      </c>
      <c r="B270">
        <v>1001</v>
      </c>
      <c r="C270">
        <v>1</v>
      </c>
      <c r="D270" s="19" t="str">
        <f>IF(MONTH(_xlfn.XLOOKUP(Attendance_Table[[#This Row],[session_id]],Sessions_Table[session_id],Sessions_Table[session_date]))=MONTH(MAX(Sessions_Table[session_date])),"Yes","No")</f>
        <v>No</v>
      </c>
    </row>
    <row r="271" spans="1:4" x14ac:dyDescent="0.25">
      <c r="A271">
        <v>82</v>
      </c>
      <c r="B271">
        <v>1004</v>
      </c>
      <c r="C271">
        <v>1</v>
      </c>
      <c r="D271" s="19" t="str">
        <f>IF(MONTH(_xlfn.XLOOKUP(Attendance_Table[[#This Row],[session_id]],Sessions_Table[session_id],Sessions_Table[session_date]))=MONTH(MAX(Sessions_Table[session_date])),"Yes","No")</f>
        <v>No</v>
      </c>
    </row>
    <row r="272" spans="1:4" x14ac:dyDescent="0.25">
      <c r="A272">
        <v>82</v>
      </c>
      <c r="B272">
        <v>1022</v>
      </c>
      <c r="C272">
        <v>1</v>
      </c>
      <c r="D272" s="19" t="str">
        <f>IF(MONTH(_xlfn.XLOOKUP(Attendance_Table[[#This Row],[session_id]],Sessions_Table[session_id],Sessions_Table[session_date]))=MONTH(MAX(Sessions_Table[session_date])),"Yes","No")</f>
        <v>No</v>
      </c>
    </row>
    <row r="273" spans="1:4" x14ac:dyDescent="0.25">
      <c r="A273">
        <v>82</v>
      </c>
      <c r="B273">
        <v>1026</v>
      </c>
      <c r="C273">
        <v>1</v>
      </c>
      <c r="D273" s="19" t="str">
        <f>IF(MONTH(_xlfn.XLOOKUP(Attendance_Table[[#This Row],[session_id]],Sessions_Table[session_id],Sessions_Table[session_date]))=MONTH(MAX(Sessions_Table[session_date])),"Yes","No")</f>
        <v>No</v>
      </c>
    </row>
    <row r="274" spans="1:4" x14ac:dyDescent="0.25">
      <c r="A274">
        <v>83</v>
      </c>
      <c r="B274">
        <v>1001</v>
      </c>
      <c r="C274">
        <v>1</v>
      </c>
      <c r="D274" s="19" t="str">
        <f>IF(MONTH(_xlfn.XLOOKUP(Attendance_Table[[#This Row],[session_id]],Sessions_Table[session_id],Sessions_Table[session_date]))=MONTH(MAX(Sessions_Table[session_date])),"Yes","No")</f>
        <v>No</v>
      </c>
    </row>
    <row r="275" spans="1:4" x14ac:dyDescent="0.25">
      <c r="A275">
        <v>83</v>
      </c>
      <c r="B275">
        <v>1004</v>
      </c>
      <c r="C275">
        <v>1</v>
      </c>
      <c r="D275" s="19" t="str">
        <f>IF(MONTH(_xlfn.XLOOKUP(Attendance_Table[[#This Row],[session_id]],Sessions_Table[session_id],Sessions_Table[session_date]))=MONTH(MAX(Sessions_Table[session_date])),"Yes","No")</f>
        <v>No</v>
      </c>
    </row>
    <row r="276" spans="1:4" x14ac:dyDescent="0.25">
      <c r="A276">
        <v>83</v>
      </c>
      <c r="B276">
        <v>1022</v>
      </c>
      <c r="C276">
        <v>1</v>
      </c>
      <c r="D276" s="19" t="str">
        <f>IF(MONTH(_xlfn.XLOOKUP(Attendance_Table[[#This Row],[session_id]],Sessions_Table[session_id],Sessions_Table[session_date]))=MONTH(MAX(Sessions_Table[session_date])),"Yes","No")</f>
        <v>No</v>
      </c>
    </row>
    <row r="277" spans="1:4" x14ac:dyDescent="0.25">
      <c r="A277">
        <v>83</v>
      </c>
      <c r="B277">
        <v>1026</v>
      </c>
      <c r="C277">
        <v>1</v>
      </c>
      <c r="D277" s="19" t="str">
        <f>IF(MONTH(_xlfn.XLOOKUP(Attendance_Table[[#This Row],[session_id]],Sessions_Table[session_id],Sessions_Table[session_date]))=MONTH(MAX(Sessions_Table[session_date])),"Yes","No")</f>
        <v>No</v>
      </c>
    </row>
    <row r="278" spans="1:4" x14ac:dyDescent="0.25">
      <c r="A278">
        <v>84</v>
      </c>
      <c r="B278">
        <v>1001</v>
      </c>
      <c r="C278">
        <v>1</v>
      </c>
      <c r="D278" s="19" t="str">
        <f>IF(MONTH(_xlfn.XLOOKUP(Attendance_Table[[#This Row],[session_id]],Sessions_Table[session_id],Sessions_Table[session_date]))=MONTH(MAX(Sessions_Table[session_date])),"Yes","No")</f>
        <v>No</v>
      </c>
    </row>
    <row r="279" spans="1:4" x14ac:dyDescent="0.25">
      <c r="A279">
        <v>84</v>
      </c>
      <c r="B279">
        <v>1004</v>
      </c>
      <c r="C279">
        <v>1</v>
      </c>
      <c r="D279" s="19" t="str">
        <f>IF(MONTH(_xlfn.XLOOKUP(Attendance_Table[[#This Row],[session_id]],Sessions_Table[session_id],Sessions_Table[session_date]))=MONTH(MAX(Sessions_Table[session_date])),"Yes","No")</f>
        <v>No</v>
      </c>
    </row>
    <row r="280" spans="1:4" x14ac:dyDescent="0.25">
      <c r="A280">
        <v>84</v>
      </c>
      <c r="B280">
        <v>1022</v>
      </c>
      <c r="C280">
        <v>1</v>
      </c>
      <c r="D280" s="19" t="str">
        <f>IF(MONTH(_xlfn.XLOOKUP(Attendance_Table[[#This Row],[session_id]],Sessions_Table[session_id],Sessions_Table[session_date]))=MONTH(MAX(Sessions_Table[session_date])),"Yes","No")</f>
        <v>No</v>
      </c>
    </row>
    <row r="281" spans="1:4" x14ac:dyDescent="0.25">
      <c r="A281">
        <v>84</v>
      </c>
      <c r="B281">
        <v>1026</v>
      </c>
      <c r="C281">
        <v>1</v>
      </c>
      <c r="D281" s="19" t="str">
        <f>IF(MONTH(_xlfn.XLOOKUP(Attendance_Table[[#This Row],[session_id]],Sessions_Table[session_id],Sessions_Table[session_date]))=MONTH(MAX(Sessions_Table[session_date])),"Yes","No")</f>
        <v>No</v>
      </c>
    </row>
    <row r="282" spans="1:4" x14ac:dyDescent="0.25">
      <c r="A282">
        <v>85</v>
      </c>
      <c r="B282">
        <v>1001</v>
      </c>
      <c r="C282">
        <v>1</v>
      </c>
      <c r="D282" s="19" t="str">
        <f>IF(MONTH(_xlfn.XLOOKUP(Attendance_Table[[#This Row],[session_id]],Sessions_Table[session_id],Sessions_Table[session_date]))=MONTH(MAX(Sessions_Table[session_date])),"Yes","No")</f>
        <v>No</v>
      </c>
    </row>
    <row r="283" spans="1:4" x14ac:dyDescent="0.25">
      <c r="A283">
        <v>85</v>
      </c>
      <c r="B283">
        <v>1004</v>
      </c>
      <c r="C283">
        <v>1</v>
      </c>
      <c r="D283" s="19" t="str">
        <f>IF(MONTH(_xlfn.XLOOKUP(Attendance_Table[[#This Row],[session_id]],Sessions_Table[session_id],Sessions_Table[session_date]))=MONTH(MAX(Sessions_Table[session_date])),"Yes","No")</f>
        <v>No</v>
      </c>
    </row>
    <row r="284" spans="1:4" x14ac:dyDescent="0.25">
      <c r="A284">
        <v>85</v>
      </c>
      <c r="B284">
        <v>1022</v>
      </c>
      <c r="C284">
        <v>0</v>
      </c>
      <c r="D284" s="19" t="str">
        <f>IF(MONTH(_xlfn.XLOOKUP(Attendance_Table[[#This Row],[session_id]],Sessions_Table[session_id],Sessions_Table[session_date]))=MONTH(MAX(Sessions_Table[session_date])),"Yes","No")</f>
        <v>No</v>
      </c>
    </row>
    <row r="285" spans="1:4" x14ac:dyDescent="0.25">
      <c r="A285">
        <v>85</v>
      </c>
      <c r="B285">
        <v>1026</v>
      </c>
      <c r="C285">
        <v>1</v>
      </c>
      <c r="D285" s="19" t="str">
        <f>IF(MONTH(_xlfn.XLOOKUP(Attendance_Table[[#This Row],[session_id]],Sessions_Table[session_id],Sessions_Table[session_date]))=MONTH(MAX(Sessions_Table[session_date])),"Yes","No")</f>
        <v>No</v>
      </c>
    </row>
    <row r="286" spans="1:4" x14ac:dyDescent="0.25">
      <c r="A286">
        <v>86</v>
      </c>
      <c r="B286">
        <v>1001</v>
      </c>
      <c r="C286">
        <v>1</v>
      </c>
      <c r="D286" s="19" t="str">
        <f>IF(MONTH(_xlfn.XLOOKUP(Attendance_Table[[#This Row],[session_id]],Sessions_Table[session_id],Sessions_Table[session_date]))=MONTH(MAX(Sessions_Table[session_date])),"Yes","No")</f>
        <v>No</v>
      </c>
    </row>
    <row r="287" spans="1:4" x14ac:dyDescent="0.25">
      <c r="A287">
        <v>86</v>
      </c>
      <c r="B287">
        <v>1004</v>
      </c>
      <c r="C287">
        <v>1</v>
      </c>
      <c r="D287" s="19" t="str">
        <f>IF(MONTH(_xlfn.XLOOKUP(Attendance_Table[[#This Row],[session_id]],Sessions_Table[session_id],Sessions_Table[session_date]))=MONTH(MAX(Sessions_Table[session_date])),"Yes","No")</f>
        <v>No</v>
      </c>
    </row>
    <row r="288" spans="1:4" x14ac:dyDescent="0.25">
      <c r="A288">
        <v>86</v>
      </c>
      <c r="B288">
        <v>1022</v>
      </c>
      <c r="C288">
        <v>1</v>
      </c>
      <c r="D288" s="19" t="str">
        <f>IF(MONTH(_xlfn.XLOOKUP(Attendance_Table[[#This Row],[session_id]],Sessions_Table[session_id],Sessions_Table[session_date]))=MONTH(MAX(Sessions_Table[session_date])),"Yes","No")</f>
        <v>No</v>
      </c>
    </row>
    <row r="289" spans="1:4" x14ac:dyDescent="0.25">
      <c r="A289">
        <v>86</v>
      </c>
      <c r="B289">
        <v>1026</v>
      </c>
      <c r="C289">
        <v>1</v>
      </c>
      <c r="D289" s="19" t="str">
        <f>IF(MONTH(_xlfn.XLOOKUP(Attendance_Table[[#This Row],[session_id]],Sessions_Table[session_id],Sessions_Table[session_date]))=MONTH(MAX(Sessions_Table[session_date])),"Yes","No")</f>
        <v>No</v>
      </c>
    </row>
    <row r="290" spans="1:4" x14ac:dyDescent="0.25">
      <c r="A290">
        <v>87</v>
      </c>
      <c r="B290">
        <v>1005</v>
      </c>
      <c r="C290">
        <v>0</v>
      </c>
      <c r="D290" s="19" t="str">
        <f>IF(MONTH(_xlfn.XLOOKUP(Attendance_Table[[#This Row],[session_id]],Sessions_Table[session_id],Sessions_Table[session_date]))=MONTH(MAX(Sessions_Table[session_date])),"Yes","No")</f>
        <v>No</v>
      </c>
    </row>
    <row r="291" spans="1:4" x14ac:dyDescent="0.25">
      <c r="A291">
        <v>87</v>
      </c>
      <c r="B291">
        <v>1007</v>
      </c>
      <c r="C291">
        <v>1</v>
      </c>
      <c r="D291" s="19" t="str">
        <f>IF(MONTH(_xlfn.XLOOKUP(Attendance_Table[[#This Row],[session_id]],Sessions_Table[session_id],Sessions_Table[session_date]))=MONTH(MAX(Sessions_Table[session_date])),"Yes","No")</f>
        <v>No</v>
      </c>
    </row>
    <row r="292" spans="1:4" x14ac:dyDescent="0.25">
      <c r="A292">
        <v>87</v>
      </c>
      <c r="B292">
        <v>1009</v>
      </c>
      <c r="C292">
        <v>1</v>
      </c>
      <c r="D292" s="19" t="str">
        <f>IF(MONTH(_xlfn.XLOOKUP(Attendance_Table[[#This Row],[session_id]],Sessions_Table[session_id],Sessions_Table[session_date]))=MONTH(MAX(Sessions_Table[session_date])),"Yes","No")</f>
        <v>No</v>
      </c>
    </row>
    <row r="293" spans="1:4" x14ac:dyDescent="0.25">
      <c r="A293">
        <v>87</v>
      </c>
      <c r="B293">
        <v>1011</v>
      </c>
      <c r="C293">
        <v>1</v>
      </c>
      <c r="D293" s="19" t="str">
        <f>IF(MONTH(_xlfn.XLOOKUP(Attendance_Table[[#This Row],[session_id]],Sessions_Table[session_id],Sessions_Table[session_date]))=MONTH(MAX(Sessions_Table[session_date])),"Yes","No")</f>
        <v>No</v>
      </c>
    </row>
    <row r="294" spans="1:4" x14ac:dyDescent="0.25">
      <c r="A294">
        <v>87</v>
      </c>
      <c r="B294">
        <v>1014</v>
      </c>
      <c r="C294">
        <v>1</v>
      </c>
      <c r="D294" s="19" t="str">
        <f>IF(MONTH(_xlfn.XLOOKUP(Attendance_Table[[#This Row],[session_id]],Sessions_Table[session_id],Sessions_Table[session_date]))=MONTH(MAX(Sessions_Table[session_date])),"Yes","No")</f>
        <v>No</v>
      </c>
    </row>
    <row r="295" spans="1:4" x14ac:dyDescent="0.25">
      <c r="A295">
        <v>87</v>
      </c>
      <c r="B295">
        <v>1021</v>
      </c>
      <c r="C295">
        <v>1</v>
      </c>
      <c r="D295" s="19" t="str">
        <f>IF(MONTH(_xlfn.XLOOKUP(Attendance_Table[[#This Row],[session_id]],Sessions_Table[session_id],Sessions_Table[session_date]))=MONTH(MAX(Sessions_Table[session_date])),"Yes","No")</f>
        <v>No</v>
      </c>
    </row>
    <row r="296" spans="1:4" x14ac:dyDescent="0.25">
      <c r="A296">
        <v>88</v>
      </c>
      <c r="B296">
        <v>1005</v>
      </c>
      <c r="C296">
        <v>1</v>
      </c>
      <c r="D296" s="19" t="str">
        <f>IF(MONTH(_xlfn.XLOOKUP(Attendance_Table[[#This Row],[session_id]],Sessions_Table[session_id],Sessions_Table[session_date]))=MONTH(MAX(Sessions_Table[session_date])),"Yes","No")</f>
        <v>No</v>
      </c>
    </row>
    <row r="297" spans="1:4" x14ac:dyDescent="0.25">
      <c r="A297">
        <v>88</v>
      </c>
      <c r="B297">
        <v>1007</v>
      </c>
      <c r="C297">
        <v>1</v>
      </c>
      <c r="D297" s="19" t="str">
        <f>IF(MONTH(_xlfn.XLOOKUP(Attendance_Table[[#This Row],[session_id]],Sessions_Table[session_id],Sessions_Table[session_date]))=MONTH(MAX(Sessions_Table[session_date])),"Yes","No")</f>
        <v>No</v>
      </c>
    </row>
    <row r="298" spans="1:4" x14ac:dyDescent="0.25">
      <c r="A298">
        <v>88</v>
      </c>
      <c r="B298">
        <v>1009</v>
      </c>
      <c r="C298">
        <v>0</v>
      </c>
      <c r="D298" s="19" t="str">
        <f>IF(MONTH(_xlfn.XLOOKUP(Attendance_Table[[#This Row],[session_id]],Sessions_Table[session_id],Sessions_Table[session_date]))=MONTH(MAX(Sessions_Table[session_date])),"Yes","No")</f>
        <v>No</v>
      </c>
    </row>
    <row r="299" spans="1:4" x14ac:dyDescent="0.25">
      <c r="A299">
        <v>88</v>
      </c>
      <c r="B299">
        <v>1011</v>
      </c>
      <c r="C299">
        <v>1</v>
      </c>
      <c r="D299" s="19" t="str">
        <f>IF(MONTH(_xlfn.XLOOKUP(Attendance_Table[[#This Row],[session_id]],Sessions_Table[session_id],Sessions_Table[session_date]))=MONTH(MAX(Sessions_Table[session_date])),"Yes","No")</f>
        <v>No</v>
      </c>
    </row>
    <row r="300" spans="1:4" x14ac:dyDescent="0.25">
      <c r="A300">
        <v>88</v>
      </c>
      <c r="B300">
        <v>1014</v>
      </c>
      <c r="C300">
        <v>1</v>
      </c>
      <c r="D300" s="19" t="str">
        <f>IF(MONTH(_xlfn.XLOOKUP(Attendance_Table[[#This Row],[session_id]],Sessions_Table[session_id],Sessions_Table[session_date]))=MONTH(MAX(Sessions_Table[session_date])),"Yes","No")</f>
        <v>No</v>
      </c>
    </row>
    <row r="301" spans="1:4" x14ac:dyDescent="0.25">
      <c r="A301">
        <v>88</v>
      </c>
      <c r="B301">
        <v>1021</v>
      </c>
      <c r="C301">
        <v>1</v>
      </c>
      <c r="D301" s="19" t="str">
        <f>IF(MONTH(_xlfn.XLOOKUP(Attendance_Table[[#This Row],[session_id]],Sessions_Table[session_id],Sessions_Table[session_date]))=MONTH(MAX(Sessions_Table[session_date])),"Yes","No")</f>
        <v>No</v>
      </c>
    </row>
    <row r="302" spans="1:4" x14ac:dyDescent="0.25">
      <c r="A302">
        <v>89</v>
      </c>
      <c r="B302">
        <v>1005</v>
      </c>
      <c r="C302">
        <v>1</v>
      </c>
      <c r="D302" s="19" t="str">
        <f>IF(MONTH(_xlfn.XLOOKUP(Attendance_Table[[#This Row],[session_id]],Sessions_Table[session_id],Sessions_Table[session_date]))=MONTH(MAX(Sessions_Table[session_date])),"Yes","No")</f>
        <v>No</v>
      </c>
    </row>
    <row r="303" spans="1:4" x14ac:dyDescent="0.25">
      <c r="A303">
        <v>89</v>
      </c>
      <c r="B303">
        <v>1007</v>
      </c>
      <c r="C303">
        <v>1</v>
      </c>
      <c r="D303" s="19" t="str">
        <f>IF(MONTH(_xlfn.XLOOKUP(Attendance_Table[[#This Row],[session_id]],Sessions_Table[session_id],Sessions_Table[session_date]))=MONTH(MAX(Sessions_Table[session_date])),"Yes","No")</f>
        <v>No</v>
      </c>
    </row>
    <row r="304" spans="1:4" x14ac:dyDescent="0.25">
      <c r="A304">
        <v>89</v>
      </c>
      <c r="B304">
        <v>1009</v>
      </c>
      <c r="C304">
        <v>1</v>
      </c>
      <c r="D304" s="19" t="str">
        <f>IF(MONTH(_xlfn.XLOOKUP(Attendance_Table[[#This Row],[session_id]],Sessions_Table[session_id],Sessions_Table[session_date]))=MONTH(MAX(Sessions_Table[session_date])),"Yes","No")</f>
        <v>No</v>
      </c>
    </row>
    <row r="305" spans="1:4" x14ac:dyDescent="0.25">
      <c r="A305">
        <v>89</v>
      </c>
      <c r="B305">
        <v>1011</v>
      </c>
      <c r="C305">
        <v>1</v>
      </c>
      <c r="D305" s="19" t="str">
        <f>IF(MONTH(_xlfn.XLOOKUP(Attendance_Table[[#This Row],[session_id]],Sessions_Table[session_id],Sessions_Table[session_date]))=MONTH(MAX(Sessions_Table[session_date])),"Yes","No")</f>
        <v>No</v>
      </c>
    </row>
    <row r="306" spans="1:4" x14ac:dyDescent="0.25">
      <c r="A306">
        <v>89</v>
      </c>
      <c r="B306">
        <v>1014</v>
      </c>
      <c r="C306">
        <v>1</v>
      </c>
      <c r="D306" s="19" t="str">
        <f>IF(MONTH(_xlfn.XLOOKUP(Attendance_Table[[#This Row],[session_id]],Sessions_Table[session_id],Sessions_Table[session_date]))=MONTH(MAX(Sessions_Table[session_date])),"Yes","No")</f>
        <v>No</v>
      </c>
    </row>
    <row r="307" spans="1:4" x14ac:dyDescent="0.25">
      <c r="A307">
        <v>89</v>
      </c>
      <c r="B307">
        <v>1021</v>
      </c>
      <c r="C307">
        <v>1</v>
      </c>
      <c r="D307" s="19" t="str">
        <f>IF(MONTH(_xlfn.XLOOKUP(Attendance_Table[[#This Row],[session_id]],Sessions_Table[session_id],Sessions_Table[session_date]))=MONTH(MAX(Sessions_Table[session_date])),"Yes","No")</f>
        <v>No</v>
      </c>
    </row>
    <row r="308" spans="1:4" x14ac:dyDescent="0.25">
      <c r="A308">
        <v>90</v>
      </c>
      <c r="B308">
        <v>1005</v>
      </c>
      <c r="C308">
        <v>1</v>
      </c>
      <c r="D308" s="19" t="str">
        <f>IF(MONTH(_xlfn.XLOOKUP(Attendance_Table[[#This Row],[session_id]],Sessions_Table[session_id],Sessions_Table[session_date]))=MONTH(MAX(Sessions_Table[session_date])),"Yes","No")</f>
        <v>No</v>
      </c>
    </row>
    <row r="309" spans="1:4" x14ac:dyDescent="0.25">
      <c r="A309">
        <v>90</v>
      </c>
      <c r="B309">
        <v>1007</v>
      </c>
      <c r="C309">
        <v>1</v>
      </c>
      <c r="D309" s="19" t="str">
        <f>IF(MONTH(_xlfn.XLOOKUP(Attendance_Table[[#This Row],[session_id]],Sessions_Table[session_id],Sessions_Table[session_date]))=MONTH(MAX(Sessions_Table[session_date])),"Yes","No")</f>
        <v>No</v>
      </c>
    </row>
    <row r="310" spans="1:4" x14ac:dyDescent="0.25">
      <c r="A310">
        <v>90</v>
      </c>
      <c r="B310">
        <v>1009</v>
      </c>
      <c r="C310">
        <v>1</v>
      </c>
      <c r="D310" s="19" t="str">
        <f>IF(MONTH(_xlfn.XLOOKUP(Attendance_Table[[#This Row],[session_id]],Sessions_Table[session_id],Sessions_Table[session_date]))=MONTH(MAX(Sessions_Table[session_date])),"Yes","No")</f>
        <v>No</v>
      </c>
    </row>
    <row r="311" spans="1:4" x14ac:dyDescent="0.25">
      <c r="A311">
        <v>90</v>
      </c>
      <c r="B311">
        <v>1011</v>
      </c>
      <c r="C311">
        <v>1</v>
      </c>
      <c r="D311" s="19" t="str">
        <f>IF(MONTH(_xlfn.XLOOKUP(Attendance_Table[[#This Row],[session_id]],Sessions_Table[session_id],Sessions_Table[session_date]))=MONTH(MAX(Sessions_Table[session_date])),"Yes","No")</f>
        <v>No</v>
      </c>
    </row>
    <row r="312" spans="1:4" x14ac:dyDescent="0.25">
      <c r="A312">
        <v>90</v>
      </c>
      <c r="B312">
        <v>1014</v>
      </c>
      <c r="C312">
        <v>1</v>
      </c>
      <c r="D312" s="19" t="str">
        <f>IF(MONTH(_xlfn.XLOOKUP(Attendance_Table[[#This Row],[session_id]],Sessions_Table[session_id],Sessions_Table[session_date]))=MONTH(MAX(Sessions_Table[session_date])),"Yes","No")</f>
        <v>No</v>
      </c>
    </row>
    <row r="313" spans="1:4" x14ac:dyDescent="0.25">
      <c r="A313">
        <v>90</v>
      </c>
      <c r="B313">
        <v>1021</v>
      </c>
      <c r="C313">
        <v>1</v>
      </c>
      <c r="D313" s="19" t="str">
        <f>IF(MONTH(_xlfn.XLOOKUP(Attendance_Table[[#This Row],[session_id]],Sessions_Table[session_id],Sessions_Table[session_date]))=MONTH(MAX(Sessions_Table[session_date])),"Yes","No")</f>
        <v>No</v>
      </c>
    </row>
    <row r="314" spans="1:4" x14ac:dyDescent="0.25">
      <c r="A314">
        <v>91</v>
      </c>
      <c r="B314">
        <v>1005</v>
      </c>
      <c r="C314">
        <v>1</v>
      </c>
      <c r="D314" s="19" t="str">
        <f>IF(MONTH(_xlfn.XLOOKUP(Attendance_Table[[#This Row],[session_id]],Sessions_Table[session_id],Sessions_Table[session_date]))=MONTH(MAX(Sessions_Table[session_date])),"Yes","No")</f>
        <v>No</v>
      </c>
    </row>
    <row r="315" spans="1:4" x14ac:dyDescent="0.25">
      <c r="A315">
        <v>91</v>
      </c>
      <c r="B315">
        <v>1007</v>
      </c>
      <c r="C315">
        <v>1</v>
      </c>
      <c r="D315" s="19" t="str">
        <f>IF(MONTH(_xlfn.XLOOKUP(Attendance_Table[[#This Row],[session_id]],Sessions_Table[session_id],Sessions_Table[session_date]))=MONTH(MAX(Sessions_Table[session_date])),"Yes","No")</f>
        <v>No</v>
      </c>
    </row>
    <row r="316" spans="1:4" x14ac:dyDescent="0.25">
      <c r="A316">
        <v>91</v>
      </c>
      <c r="B316">
        <v>1009</v>
      </c>
      <c r="C316">
        <v>1</v>
      </c>
      <c r="D316" s="19" t="str">
        <f>IF(MONTH(_xlfn.XLOOKUP(Attendance_Table[[#This Row],[session_id]],Sessions_Table[session_id],Sessions_Table[session_date]))=MONTH(MAX(Sessions_Table[session_date])),"Yes","No")</f>
        <v>No</v>
      </c>
    </row>
    <row r="317" spans="1:4" x14ac:dyDescent="0.25">
      <c r="A317">
        <v>91</v>
      </c>
      <c r="B317">
        <v>1011</v>
      </c>
      <c r="C317">
        <v>1</v>
      </c>
      <c r="D317" s="19" t="str">
        <f>IF(MONTH(_xlfn.XLOOKUP(Attendance_Table[[#This Row],[session_id]],Sessions_Table[session_id],Sessions_Table[session_date]))=MONTH(MAX(Sessions_Table[session_date])),"Yes","No")</f>
        <v>No</v>
      </c>
    </row>
    <row r="318" spans="1:4" x14ac:dyDescent="0.25">
      <c r="A318">
        <v>91</v>
      </c>
      <c r="B318">
        <v>1014</v>
      </c>
      <c r="C318">
        <v>1</v>
      </c>
      <c r="D318" s="19" t="str">
        <f>IF(MONTH(_xlfn.XLOOKUP(Attendance_Table[[#This Row],[session_id]],Sessions_Table[session_id],Sessions_Table[session_date]))=MONTH(MAX(Sessions_Table[session_date])),"Yes","No")</f>
        <v>No</v>
      </c>
    </row>
    <row r="319" spans="1:4" x14ac:dyDescent="0.25">
      <c r="A319">
        <v>91</v>
      </c>
      <c r="B319">
        <v>1021</v>
      </c>
      <c r="C319">
        <v>1</v>
      </c>
      <c r="D319" s="19" t="str">
        <f>IF(MONTH(_xlfn.XLOOKUP(Attendance_Table[[#This Row],[session_id]],Sessions_Table[session_id],Sessions_Table[session_date]))=MONTH(MAX(Sessions_Table[session_date])),"Yes","No")</f>
        <v>No</v>
      </c>
    </row>
    <row r="320" spans="1:4" x14ac:dyDescent="0.25">
      <c r="A320">
        <v>92</v>
      </c>
      <c r="B320">
        <v>1005</v>
      </c>
      <c r="C320">
        <v>1</v>
      </c>
      <c r="D320" s="19" t="str">
        <f>IF(MONTH(_xlfn.XLOOKUP(Attendance_Table[[#This Row],[session_id]],Sessions_Table[session_id],Sessions_Table[session_date]))=MONTH(MAX(Sessions_Table[session_date])),"Yes","No")</f>
        <v>No</v>
      </c>
    </row>
    <row r="321" spans="1:4" x14ac:dyDescent="0.25">
      <c r="A321">
        <v>92</v>
      </c>
      <c r="B321">
        <v>1007</v>
      </c>
      <c r="C321">
        <v>1</v>
      </c>
      <c r="D321" s="19" t="str">
        <f>IF(MONTH(_xlfn.XLOOKUP(Attendance_Table[[#This Row],[session_id]],Sessions_Table[session_id],Sessions_Table[session_date]))=MONTH(MAX(Sessions_Table[session_date])),"Yes","No")</f>
        <v>No</v>
      </c>
    </row>
    <row r="322" spans="1:4" x14ac:dyDescent="0.25">
      <c r="A322">
        <v>92</v>
      </c>
      <c r="B322">
        <v>1009</v>
      </c>
      <c r="C322">
        <v>1</v>
      </c>
      <c r="D322" s="19" t="str">
        <f>IF(MONTH(_xlfn.XLOOKUP(Attendance_Table[[#This Row],[session_id]],Sessions_Table[session_id],Sessions_Table[session_date]))=MONTH(MAX(Sessions_Table[session_date])),"Yes","No")</f>
        <v>No</v>
      </c>
    </row>
    <row r="323" spans="1:4" x14ac:dyDescent="0.25">
      <c r="A323">
        <v>92</v>
      </c>
      <c r="B323">
        <v>1011</v>
      </c>
      <c r="C323">
        <v>1</v>
      </c>
      <c r="D323" s="19" t="str">
        <f>IF(MONTH(_xlfn.XLOOKUP(Attendance_Table[[#This Row],[session_id]],Sessions_Table[session_id],Sessions_Table[session_date]))=MONTH(MAX(Sessions_Table[session_date])),"Yes","No")</f>
        <v>No</v>
      </c>
    </row>
    <row r="324" spans="1:4" x14ac:dyDescent="0.25">
      <c r="A324">
        <v>92</v>
      </c>
      <c r="B324">
        <v>1014</v>
      </c>
      <c r="C324">
        <v>1</v>
      </c>
      <c r="D324" s="19" t="str">
        <f>IF(MONTH(_xlfn.XLOOKUP(Attendance_Table[[#This Row],[session_id]],Sessions_Table[session_id],Sessions_Table[session_date]))=MONTH(MAX(Sessions_Table[session_date])),"Yes","No")</f>
        <v>No</v>
      </c>
    </row>
    <row r="325" spans="1:4" x14ac:dyDescent="0.25">
      <c r="A325">
        <v>92</v>
      </c>
      <c r="B325">
        <v>1021</v>
      </c>
      <c r="C325">
        <v>1</v>
      </c>
      <c r="D325" s="19" t="str">
        <f>IF(MONTH(_xlfn.XLOOKUP(Attendance_Table[[#This Row],[session_id]],Sessions_Table[session_id],Sessions_Table[session_date]))=MONTH(MAX(Sessions_Table[session_date])),"Yes","No")</f>
        <v>No</v>
      </c>
    </row>
    <row r="326" spans="1:4" x14ac:dyDescent="0.25">
      <c r="A326">
        <v>93</v>
      </c>
      <c r="B326">
        <v>1005</v>
      </c>
      <c r="C326">
        <v>1</v>
      </c>
      <c r="D326" s="19" t="str">
        <f>IF(MONTH(_xlfn.XLOOKUP(Attendance_Table[[#This Row],[session_id]],Sessions_Table[session_id],Sessions_Table[session_date]))=MONTH(MAX(Sessions_Table[session_date])),"Yes","No")</f>
        <v>No</v>
      </c>
    </row>
    <row r="327" spans="1:4" x14ac:dyDescent="0.25">
      <c r="A327">
        <v>93</v>
      </c>
      <c r="B327">
        <v>1007</v>
      </c>
      <c r="C327">
        <v>1</v>
      </c>
      <c r="D327" s="19" t="str">
        <f>IF(MONTH(_xlfn.XLOOKUP(Attendance_Table[[#This Row],[session_id]],Sessions_Table[session_id],Sessions_Table[session_date]))=MONTH(MAX(Sessions_Table[session_date])),"Yes","No")</f>
        <v>No</v>
      </c>
    </row>
    <row r="328" spans="1:4" x14ac:dyDescent="0.25">
      <c r="A328">
        <v>93</v>
      </c>
      <c r="B328">
        <v>1009</v>
      </c>
      <c r="C328">
        <v>1</v>
      </c>
      <c r="D328" s="19" t="str">
        <f>IF(MONTH(_xlfn.XLOOKUP(Attendance_Table[[#This Row],[session_id]],Sessions_Table[session_id],Sessions_Table[session_date]))=MONTH(MAX(Sessions_Table[session_date])),"Yes","No")</f>
        <v>No</v>
      </c>
    </row>
    <row r="329" spans="1:4" x14ac:dyDescent="0.25">
      <c r="A329">
        <v>93</v>
      </c>
      <c r="B329">
        <v>1011</v>
      </c>
      <c r="C329">
        <v>1</v>
      </c>
      <c r="D329" s="19" t="str">
        <f>IF(MONTH(_xlfn.XLOOKUP(Attendance_Table[[#This Row],[session_id]],Sessions_Table[session_id],Sessions_Table[session_date]))=MONTH(MAX(Sessions_Table[session_date])),"Yes","No")</f>
        <v>No</v>
      </c>
    </row>
    <row r="330" spans="1:4" x14ac:dyDescent="0.25">
      <c r="A330">
        <v>93</v>
      </c>
      <c r="B330">
        <v>1014</v>
      </c>
      <c r="C330">
        <v>1</v>
      </c>
      <c r="D330" s="19" t="str">
        <f>IF(MONTH(_xlfn.XLOOKUP(Attendance_Table[[#This Row],[session_id]],Sessions_Table[session_id],Sessions_Table[session_date]))=MONTH(MAX(Sessions_Table[session_date])),"Yes","No")</f>
        <v>No</v>
      </c>
    </row>
    <row r="331" spans="1:4" x14ac:dyDescent="0.25">
      <c r="A331">
        <v>93</v>
      </c>
      <c r="B331">
        <v>1021</v>
      </c>
      <c r="C331">
        <v>1</v>
      </c>
      <c r="D331" s="19" t="str">
        <f>IF(MONTH(_xlfn.XLOOKUP(Attendance_Table[[#This Row],[session_id]],Sessions_Table[session_id],Sessions_Table[session_date]))=MONTH(MAX(Sessions_Table[session_date])),"Yes","No")</f>
        <v>No</v>
      </c>
    </row>
    <row r="332" spans="1:4" x14ac:dyDescent="0.25">
      <c r="A332">
        <v>94</v>
      </c>
      <c r="B332">
        <v>1005</v>
      </c>
      <c r="C332">
        <v>1</v>
      </c>
      <c r="D332" s="19" t="str">
        <f>IF(MONTH(_xlfn.XLOOKUP(Attendance_Table[[#This Row],[session_id]],Sessions_Table[session_id],Sessions_Table[session_date]))=MONTH(MAX(Sessions_Table[session_date])),"Yes","No")</f>
        <v>No</v>
      </c>
    </row>
    <row r="333" spans="1:4" x14ac:dyDescent="0.25">
      <c r="A333">
        <v>94</v>
      </c>
      <c r="B333">
        <v>1007</v>
      </c>
      <c r="C333">
        <v>1</v>
      </c>
      <c r="D333" s="19" t="str">
        <f>IF(MONTH(_xlfn.XLOOKUP(Attendance_Table[[#This Row],[session_id]],Sessions_Table[session_id],Sessions_Table[session_date]))=MONTH(MAX(Sessions_Table[session_date])),"Yes","No")</f>
        <v>No</v>
      </c>
    </row>
    <row r="334" spans="1:4" x14ac:dyDescent="0.25">
      <c r="A334">
        <v>94</v>
      </c>
      <c r="B334">
        <v>1009</v>
      </c>
      <c r="C334">
        <v>1</v>
      </c>
      <c r="D334" s="19" t="str">
        <f>IF(MONTH(_xlfn.XLOOKUP(Attendance_Table[[#This Row],[session_id]],Sessions_Table[session_id],Sessions_Table[session_date]))=MONTH(MAX(Sessions_Table[session_date])),"Yes","No")</f>
        <v>No</v>
      </c>
    </row>
    <row r="335" spans="1:4" x14ac:dyDescent="0.25">
      <c r="A335">
        <v>94</v>
      </c>
      <c r="B335">
        <v>1011</v>
      </c>
      <c r="C335">
        <v>1</v>
      </c>
      <c r="D335" s="19" t="str">
        <f>IF(MONTH(_xlfn.XLOOKUP(Attendance_Table[[#This Row],[session_id]],Sessions_Table[session_id],Sessions_Table[session_date]))=MONTH(MAX(Sessions_Table[session_date])),"Yes","No")</f>
        <v>No</v>
      </c>
    </row>
    <row r="336" spans="1:4" x14ac:dyDescent="0.25">
      <c r="A336">
        <v>94</v>
      </c>
      <c r="B336">
        <v>1014</v>
      </c>
      <c r="C336">
        <v>0</v>
      </c>
      <c r="D336" s="19" t="str">
        <f>IF(MONTH(_xlfn.XLOOKUP(Attendance_Table[[#This Row],[session_id]],Sessions_Table[session_id],Sessions_Table[session_date]))=MONTH(MAX(Sessions_Table[session_date])),"Yes","No")</f>
        <v>No</v>
      </c>
    </row>
    <row r="337" spans="1:4" x14ac:dyDescent="0.25">
      <c r="A337">
        <v>94</v>
      </c>
      <c r="B337">
        <v>1021</v>
      </c>
      <c r="C337">
        <v>1</v>
      </c>
      <c r="D337" s="19" t="str">
        <f>IF(MONTH(_xlfn.XLOOKUP(Attendance_Table[[#This Row],[session_id]],Sessions_Table[session_id],Sessions_Table[session_date]))=MONTH(MAX(Sessions_Table[session_date])),"Yes","No")</f>
        <v>No</v>
      </c>
    </row>
    <row r="338" spans="1:4" x14ac:dyDescent="0.25">
      <c r="A338">
        <v>95</v>
      </c>
      <c r="B338">
        <v>1005</v>
      </c>
      <c r="C338">
        <v>1</v>
      </c>
      <c r="D338" s="19" t="str">
        <f>IF(MONTH(_xlfn.XLOOKUP(Attendance_Table[[#This Row],[session_id]],Sessions_Table[session_id],Sessions_Table[session_date]))=MONTH(MAX(Sessions_Table[session_date])),"Yes","No")</f>
        <v>No</v>
      </c>
    </row>
    <row r="339" spans="1:4" x14ac:dyDescent="0.25">
      <c r="A339">
        <v>95</v>
      </c>
      <c r="B339">
        <v>1007</v>
      </c>
      <c r="C339">
        <v>1</v>
      </c>
      <c r="D339" s="19" t="str">
        <f>IF(MONTH(_xlfn.XLOOKUP(Attendance_Table[[#This Row],[session_id]],Sessions_Table[session_id],Sessions_Table[session_date]))=MONTH(MAX(Sessions_Table[session_date])),"Yes","No")</f>
        <v>No</v>
      </c>
    </row>
    <row r="340" spans="1:4" x14ac:dyDescent="0.25">
      <c r="A340">
        <v>95</v>
      </c>
      <c r="B340">
        <v>1009</v>
      </c>
      <c r="C340">
        <v>1</v>
      </c>
      <c r="D340" s="19" t="str">
        <f>IF(MONTH(_xlfn.XLOOKUP(Attendance_Table[[#This Row],[session_id]],Sessions_Table[session_id],Sessions_Table[session_date]))=MONTH(MAX(Sessions_Table[session_date])),"Yes","No")</f>
        <v>No</v>
      </c>
    </row>
    <row r="341" spans="1:4" x14ac:dyDescent="0.25">
      <c r="A341">
        <v>95</v>
      </c>
      <c r="B341">
        <v>1011</v>
      </c>
      <c r="C341">
        <v>1</v>
      </c>
      <c r="D341" s="19" t="str">
        <f>IF(MONTH(_xlfn.XLOOKUP(Attendance_Table[[#This Row],[session_id]],Sessions_Table[session_id],Sessions_Table[session_date]))=MONTH(MAX(Sessions_Table[session_date])),"Yes","No")</f>
        <v>No</v>
      </c>
    </row>
    <row r="342" spans="1:4" x14ac:dyDescent="0.25">
      <c r="A342">
        <v>95</v>
      </c>
      <c r="B342">
        <v>1014</v>
      </c>
      <c r="C342">
        <v>1</v>
      </c>
      <c r="D342" s="19" t="str">
        <f>IF(MONTH(_xlfn.XLOOKUP(Attendance_Table[[#This Row],[session_id]],Sessions_Table[session_id],Sessions_Table[session_date]))=MONTH(MAX(Sessions_Table[session_date])),"Yes","No")</f>
        <v>No</v>
      </c>
    </row>
    <row r="343" spans="1:4" x14ac:dyDescent="0.25">
      <c r="A343">
        <v>95</v>
      </c>
      <c r="B343">
        <v>1021</v>
      </c>
      <c r="C343">
        <v>1</v>
      </c>
      <c r="D343" s="19" t="str">
        <f>IF(MONTH(_xlfn.XLOOKUP(Attendance_Table[[#This Row],[session_id]],Sessions_Table[session_id],Sessions_Table[session_date]))=MONTH(MAX(Sessions_Table[session_date])),"Yes","No")</f>
        <v>No</v>
      </c>
    </row>
    <row r="344" spans="1:4" x14ac:dyDescent="0.25">
      <c r="A344">
        <v>96</v>
      </c>
      <c r="B344">
        <v>1005</v>
      </c>
      <c r="C344">
        <v>1</v>
      </c>
      <c r="D344" s="19" t="str">
        <f>IF(MONTH(_xlfn.XLOOKUP(Attendance_Table[[#This Row],[session_id]],Sessions_Table[session_id],Sessions_Table[session_date]))=MONTH(MAX(Sessions_Table[session_date])),"Yes","No")</f>
        <v>No</v>
      </c>
    </row>
    <row r="345" spans="1:4" x14ac:dyDescent="0.25">
      <c r="A345">
        <v>96</v>
      </c>
      <c r="B345">
        <v>1007</v>
      </c>
      <c r="C345">
        <v>1</v>
      </c>
      <c r="D345" s="19" t="str">
        <f>IF(MONTH(_xlfn.XLOOKUP(Attendance_Table[[#This Row],[session_id]],Sessions_Table[session_id],Sessions_Table[session_date]))=MONTH(MAX(Sessions_Table[session_date])),"Yes","No")</f>
        <v>No</v>
      </c>
    </row>
    <row r="346" spans="1:4" x14ac:dyDescent="0.25">
      <c r="A346">
        <v>96</v>
      </c>
      <c r="B346">
        <v>1009</v>
      </c>
      <c r="C346">
        <v>1</v>
      </c>
      <c r="D346" s="19" t="str">
        <f>IF(MONTH(_xlfn.XLOOKUP(Attendance_Table[[#This Row],[session_id]],Sessions_Table[session_id],Sessions_Table[session_date]))=MONTH(MAX(Sessions_Table[session_date])),"Yes","No")</f>
        <v>No</v>
      </c>
    </row>
    <row r="347" spans="1:4" x14ac:dyDescent="0.25">
      <c r="A347">
        <v>96</v>
      </c>
      <c r="B347">
        <v>1011</v>
      </c>
      <c r="C347">
        <v>1</v>
      </c>
      <c r="D347" s="19" t="str">
        <f>IF(MONTH(_xlfn.XLOOKUP(Attendance_Table[[#This Row],[session_id]],Sessions_Table[session_id],Sessions_Table[session_date]))=MONTH(MAX(Sessions_Table[session_date])),"Yes","No")</f>
        <v>No</v>
      </c>
    </row>
    <row r="348" spans="1:4" x14ac:dyDescent="0.25">
      <c r="A348">
        <v>96</v>
      </c>
      <c r="B348">
        <v>1014</v>
      </c>
      <c r="C348">
        <v>1</v>
      </c>
      <c r="D348" s="19" t="str">
        <f>IF(MONTH(_xlfn.XLOOKUP(Attendance_Table[[#This Row],[session_id]],Sessions_Table[session_id],Sessions_Table[session_date]))=MONTH(MAX(Sessions_Table[session_date])),"Yes","No")</f>
        <v>No</v>
      </c>
    </row>
    <row r="349" spans="1:4" x14ac:dyDescent="0.25">
      <c r="A349">
        <v>96</v>
      </c>
      <c r="B349">
        <v>1021</v>
      </c>
      <c r="C349">
        <v>1</v>
      </c>
      <c r="D349" s="19" t="str">
        <f>IF(MONTH(_xlfn.XLOOKUP(Attendance_Table[[#This Row],[session_id]],Sessions_Table[session_id],Sessions_Table[session_date]))=MONTH(MAX(Sessions_Table[session_date])),"Yes","No")</f>
        <v>No</v>
      </c>
    </row>
    <row r="350" spans="1:4" x14ac:dyDescent="0.25">
      <c r="A350">
        <v>97</v>
      </c>
      <c r="B350">
        <v>1005</v>
      </c>
      <c r="C350">
        <v>1</v>
      </c>
      <c r="D350" s="19" t="str">
        <f>IF(MONTH(_xlfn.XLOOKUP(Attendance_Table[[#This Row],[session_id]],Sessions_Table[session_id],Sessions_Table[session_date]))=MONTH(MAX(Sessions_Table[session_date])),"Yes","No")</f>
        <v>No</v>
      </c>
    </row>
    <row r="351" spans="1:4" x14ac:dyDescent="0.25">
      <c r="A351">
        <v>97</v>
      </c>
      <c r="B351">
        <v>1007</v>
      </c>
      <c r="C351">
        <v>1</v>
      </c>
      <c r="D351" s="19" t="str">
        <f>IF(MONTH(_xlfn.XLOOKUP(Attendance_Table[[#This Row],[session_id]],Sessions_Table[session_id],Sessions_Table[session_date]))=MONTH(MAX(Sessions_Table[session_date])),"Yes","No")</f>
        <v>No</v>
      </c>
    </row>
    <row r="352" spans="1:4" x14ac:dyDescent="0.25">
      <c r="A352">
        <v>97</v>
      </c>
      <c r="B352">
        <v>1009</v>
      </c>
      <c r="C352">
        <v>1</v>
      </c>
      <c r="D352" s="19" t="str">
        <f>IF(MONTH(_xlfn.XLOOKUP(Attendance_Table[[#This Row],[session_id]],Sessions_Table[session_id],Sessions_Table[session_date]))=MONTH(MAX(Sessions_Table[session_date])),"Yes","No")</f>
        <v>No</v>
      </c>
    </row>
    <row r="353" spans="1:4" x14ac:dyDescent="0.25">
      <c r="A353">
        <v>97</v>
      </c>
      <c r="B353">
        <v>1011</v>
      </c>
      <c r="C353">
        <v>1</v>
      </c>
      <c r="D353" s="19" t="str">
        <f>IF(MONTH(_xlfn.XLOOKUP(Attendance_Table[[#This Row],[session_id]],Sessions_Table[session_id],Sessions_Table[session_date]))=MONTH(MAX(Sessions_Table[session_date])),"Yes","No")</f>
        <v>No</v>
      </c>
    </row>
    <row r="354" spans="1:4" x14ac:dyDescent="0.25">
      <c r="A354">
        <v>97</v>
      </c>
      <c r="B354">
        <v>1014</v>
      </c>
      <c r="C354">
        <v>0</v>
      </c>
      <c r="D354" s="19" t="str">
        <f>IF(MONTH(_xlfn.XLOOKUP(Attendance_Table[[#This Row],[session_id]],Sessions_Table[session_id],Sessions_Table[session_date]))=MONTH(MAX(Sessions_Table[session_date])),"Yes","No")</f>
        <v>No</v>
      </c>
    </row>
    <row r="355" spans="1:4" x14ac:dyDescent="0.25">
      <c r="A355">
        <v>97</v>
      </c>
      <c r="B355">
        <v>1021</v>
      </c>
      <c r="C355">
        <v>1</v>
      </c>
      <c r="D355" s="19" t="str">
        <f>IF(MONTH(_xlfn.XLOOKUP(Attendance_Table[[#This Row],[session_id]],Sessions_Table[session_id],Sessions_Table[session_date]))=MONTH(MAX(Sessions_Table[session_date])),"Yes","No")</f>
        <v>No</v>
      </c>
    </row>
    <row r="356" spans="1:4" x14ac:dyDescent="0.25">
      <c r="A356">
        <v>98</v>
      </c>
      <c r="B356">
        <v>1005</v>
      </c>
      <c r="C356">
        <v>1</v>
      </c>
      <c r="D356" s="19" t="str">
        <f>IF(MONTH(_xlfn.XLOOKUP(Attendance_Table[[#This Row],[session_id]],Sessions_Table[session_id],Sessions_Table[session_date]))=MONTH(MAX(Sessions_Table[session_date])),"Yes","No")</f>
        <v>Yes</v>
      </c>
    </row>
    <row r="357" spans="1:4" x14ac:dyDescent="0.25">
      <c r="A357">
        <v>98</v>
      </c>
      <c r="B357">
        <v>1007</v>
      </c>
      <c r="C357">
        <v>1</v>
      </c>
      <c r="D357" s="19" t="str">
        <f>IF(MONTH(_xlfn.XLOOKUP(Attendance_Table[[#This Row],[session_id]],Sessions_Table[session_id],Sessions_Table[session_date]))=MONTH(MAX(Sessions_Table[session_date])),"Yes","No")</f>
        <v>Yes</v>
      </c>
    </row>
    <row r="358" spans="1:4" x14ac:dyDescent="0.25">
      <c r="A358">
        <v>98</v>
      </c>
      <c r="B358">
        <v>1009</v>
      </c>
      <c r="C358">
        <v>1</v>
      </c>
      <c r="D358" s="19" t="str">
        <f>IF(MONTH(_xlfn.XLOOKUP(Attendance_Table[[#This Row],[session_id]],Sessions_Table[session_id],Sessions_Table[session_date]))=MONTH(MAX(Sessions_Table[session_date])),"Yes","No")</f>
        <v>Yes</v>
      </c>
    </row>
    <row r="359" spans="1:4" x14ac:dyDescent="0.25">
      <c r="A359">
        <v>98</v>
      </c>
      <c r="B359">
        <v>1011</v>
      </c>
      <c r="C359">
        <v>1</v>
      </c>
      <c r="D359" s="19" t="str">
        <f>IF(MONTH(_xlfn.XLOOKUP(Attendance_Table[[#This Row],[session_id]],Sessions_Table[session_id],Sessions_Table[session_date]))=MONTH(MAX(Sessions_Table[session_date])),"Yes","No")</f>
        <v>Yes</v>
      </c>
    </row>
    <row r="360" spans="1:4" x14ac:dyDescent="0.25">
      <c r="A360">
        <v>98</v>
      </c>
      <c r="B360">
        <v>1014</v>
      </c>
      <c r="C360">
        <v>1</v>
      </c>
      <c r="D360" s="19" t="str">
        <f>IF(MONTH(_xlfn.XLOOKUP(Attendance_Table[[#This Row],[session_id]],Sessions_Table[session_id],Sessions_Table[session_date]))=MONTH(MAX(Sessions_Table[session_date])),"Yes","No")</f>
        <v>Yes</v>
      </c>
    </row>
    <row r="361" spans="1:4" x14ac:dyDescent="0.25">
      <c r="A361">
        <v>98</v>
      </c>
      <c r="B361">
        <v>1021</v>
      </c>
      <c r="C361">
        <v>1</v>
      </c>
      <c r="D361" s="19" t="str">
        <f>IF(MONTH(_xlfn.XLOOKUP(Attendance_Table[[#This Row],[session_id]],Sessions_Table[session_id],Sessions_Table[session_date]))=MONTH(MAX(Sessions_Table[session_date])),"Yes","No")</f>
        <v>Yes</v>
      </c>
    </row>
    <row r="362" spans="1:4" x14ac:dyDescent="0.25">
      <c r="A362">
        <v>99</v>
      </c>
      <c r="B362">
        <v>1005</v>
      </c>
      <c r="C362">
        <v>0</v>
      </c>
      <c r="D362" s="19" t="str">
        <f>IF(MONTH(_xlfn.XLOOKUP(Attendance_Table[[#This Row],[session_id]],Sessions_Table[session_id],Sessions_Table[session_date]))=MONTH(MAX(Sessions_Table[session_date])),"Yes","No")</f>
        <v>Yes</v>
      </c>
    </row>
    <row r="363" spans="1:4" x14ac:dyDescent="0.25">
      <c r="A363">
        <v>99</v>
      </c>
      <c r="B363">
        <v>1007</v>
      </c>
      <c r="C363">
        <v>1</v>
      </c>
      <c r="D363" s="19" t="str">
        <f>IF(MONTH(_xlfn.XLOOKUP(Attendance_Table[[#This Row],[session_id]],Sessions_Table[session_id],Sessions_Table[session_date]))=MONTH(MAX(Sessions_Table[session_date])),"Yes","No")</f>
        <v>Yes</v>
      </c>
    </row>
    <row r="364" spans="1:4" x14ac:dyDescent="0.25">
      <c r="A364">
        <v>99</v>
      </c>
      <c r="B364">
        <v>1009</v>
      </c>
      <c r="C364">
        <v>1</v>
      </c>
      <c r="D364" s="19" t="str">
        <f>IF(MONTH(_xlfn.XLOOKUP(Attendance_Table[[#This Row],[session_id]],Sessions_Table[session_id],Sessions_Table[session_date]))=MONTH(MAX(Sessions_Table[session_date])),"Yes","No")</f>
        <v>Yes</v>
      </c>
    </row>
    <row r="365" spans="1:4" x14ac:dyDescent="0.25">
      <c r="A365">
        <v>99</v>
      </c>
      <c r="B365">
        <v>1011</v>
      </c>
      <c r="C365">
        <v>1</v>
      </c>
      <c r="D365" s="19" t="str">
        <f>IF(MONTH(_xlfn.XLOOKUP(Attendance_Table[[#This Row],[session_id]],Sessions_Table[session_id],Sessions_Table[session_date]))=MONTH(MAX(Sessions_Table[session_date])),"Yes","No")</f>
        <v>Yes</v>
      </c>
    </row>
    <row r="366" spans="1:4" x14ac:dyDescent="0.25">
      <c r="A366">
        <v>99</v>
      </c>
      <c r="B366">
        <v>1014</v>
      </c>
      <c r="C366">
        <v>1</v>
      </c>
      <c r="D366" s="19" t="str">
        <f>IF(MONTH(_xlfn.XLOOKUP(Attendance_Table[[#This Row],[session_id]],Sessions_Table[session_id],Sessions_Table[session_date]))=MONTH(MAX(Sessions_Table[session_date])),"Yes","No")</f>
        <v>Yes</v>
      </c>
    </row>
    <row r="367" spans="1:4" x14ac:dyDescent="0.25">
      <c r="A367">
        <v>99</v>
      </c>
      <c r="B367">
        <v>1021</v>
      </c>
      <c r="C367">
        <v>0</v>
      </c>
      <c r="D367" s="19" t="str">
        <f>IF(MONTH(_xlfn.XLOOKUP(Attendance_Table[[#This Row],[session_id]],Sessions_Table[session_id],Sessions_Table[session_date]))=MONTH(MAX(Sessions_Table[session_date])),"Yes","No")</f>
        <v>Yes</v>
      </c>
    </row>
    <row r="368" spans="1:4" x14ac:dyDescent="0.25">
      <c r="A368">
        <v>100</v>
      </c>
      <c r="B368">
        <v>1005</v>
      </c>
      <c r="C368">
        <v>1</v>
      </c>
      <c r="D368" s="19" t="str">
        <f>IF(MONTH(_xlfn.XLOOKUP(Attendance_Table[[#This Row],[session_id]],Sessions_Table[session_id],Sessions_Table[session_date]))=MONTH(MAX(Sessions_Table[session_date])),"Yes","No")</f>
        <v>Yes</v>
      </c>
    </row>
    <row r="369" spans="1:4" x14ac:dyDescent="0.25">
      <c r="A369">
        <v>100</v>
      </c>
      <c r="B369">
        <v>1007</v>
      </c>
      <c r="C369">
        <v>1</v>
      </c>
      <c r="D369" s="19" t="str">
        <f>IF(MONTH(_xlfn.XLOOKUP(Attendance_Table[[#This Row],[session_id]],Sessions_Table[session_id],Sessions_Table[session_date]))=MONTH(MAX(Sessions_Table[session_date])),"Yes","No")</f>
        <v>Yes</v>
      </c>
    </row>
    <row r="370" spans="1:4" x14ac:dyDescent="0.25">
      <c r="A370">
        <v>100</v>
      </c>
      <c r="B370">
        <v>1009</v>
      </c>
      <c r="C370">
        <v>1</v>
      </c>
      <c r="D370" s="19" t="str">
        <f>IF(MONTH(_xlfn.XLOOKUP(Attendance_Table[[#This Row],[session_id]],Sessions_Table[session_id],Sessions_Table[session_date]))=MONTH(MAX(Sessions_Table[session_date])),"Yes","No")</f>
        <v>Yes</v>
      </c>
    </row>
    <row r="371" spans="1:4" x14ac:dyDescent="0.25">
      <c r="A371">
        <v>100</v>
      </c>
      <c r="B371">
        <v>1011</v>
      </c>
      <c r="C371">
        <v>1</v>
      </c>
      <c r="D371" s="19" t="str">
        <f>IF(MONTH(_xlfn.XLOOKUP(Attendance_Table[[#This Row],[session_id]],Sessions_Table[session_id],Sessions_Table[session_date]))=MONTH(MAX(Sessions_Table[session_date])),"Yes","No")</f>
        <v>Yes</v>
      </c>
    </row>
    <row r="372" spans="1:4" x14ac:dyDescent="0.25">
      <c r="A372">
        <v>100</v>
      </c>
      <c r="B372">
        <v>1014</v>
      </c>
      <c r="C372">
        <v>1</v>
      </c>
      <c r="D372" s="19" t="str">
        <f>IF(MONTH(_xlfn.XLOOKUP(Attendance_Table[[#This Row],[session_id]],Sessions_Table[session_id],Sessions_Table[session_date]))=MONTH(MAX(Sessions_Table[session_date])),"Yes","No")</f>
        <v>Yes</v>
      </c>
    </row>
    <row r="373" spans="1:4" x14ac:dyDescent="0.25">
      <c r="A373">
        <v>100</v>
      </c>
      <c r="B373">
        <v>1021</v>
      </c>
      <c r="C373">
        <v>1</v>
      </c>
      <c r="D373" s="19" t="str">
        <f>IF(MONTH(_xlfn.XLOOKUP(Attendance_Table[[#This Row],[session_id]],Sessions_Table[session_id],Sessions_Table[session_date]))=MONTH(MAX(Sessions_Table[session_date])),"Yes","No")</f>
        <v>Yes</v>
      </c>
    </row>
    <row r="374" spans="1:4" x14ac:dyDescent="0.25">
      <c r="A374">
        <v>101</v>
      </c>
      <c r="B374">
        <v>1015</v>
      </c>
      <c r="C374">
        <v>1</v>
      </c>
      <c r="D374" s="19" t="str">
        <f>IF(MONTH(_xlfn.XLOOKUP(Attendance_Table[[#This Row],[session_id]],Sessions_Table[session_id],Sessions_Table[session_date]))=MONTH(MAX(Sessions_Table[session_date])),"Yes","No")</f>
        <v>No</v>
      </c>
    </row>
    <row r="375" spans="1:4" x14ac:dyDescent="0.25">
      <c r="A375">
        <v>101</v>
      </c>
      <c r="B375">
        <v>1019</v>
      </c>
      <c r="C375">
        <v>1</v>
      </c>
      <c r="D375" s="19" t="str">
        <f>IF(MONTH(_xlfn.XLOOKUP(Attendance_Table[[#This Row],[session_id]],Sessions_Table[session_id],Sessions_Table[session_date]))=MONTH(MAX(Sessions_Table[session_date])),"Yes","No")</f>
        <v>No</v>
      </c>
    </row>
    <row r="376" spans="1:4" x14ac:dyDescent="0.25">
      <c r="A376">
        <v>102</v>
      </c>
      <c r="B376">
        <v>1015</v>
      </c>
      <c r="C376">
        <v>1</v>
      </c>
      <c r="D376" s="19" t="str">
        <f>IF(MONTH(_xlfn.XLOOKUP(Attendance_Table[[#This Row],[session_id]],Sessions_Table[session_id],Sessions_Table[session_date]))=MONTH(MAX(Sessions_Table[session_date])),"Yes","No")</f>
        <v>No</v>
      </c>
    </row>
    <row r="377" spans="1:4" x14ac:dyDescent="0.25">
      <c r="A377">
        <v>102</v>
      </c>
      <c r="B377">
        <v>1019</v>
      </c>
      <c r="C377">
        <v>1</v>
      </c>
      <c r="D377" s="19" t="str">
        <f>IF(MONTH(_xlfn.XLOOKUP(Attendance_Table[[#This Row],[session_id]],Sessions_Table[session_id],Sessions_Table[session_date]))=MONTH(MAX(Sessions_Table[session_date])),"Yes","No")</f>
        <v>No</v>
      </c>
    </row>
    <row r="378" spans="1:4" x14ac:dyDescent="0.25">
      <c r="A378">
        <v>103</v>
      </c>
      <c r="B378">
        <v>1015</v>
      </c>
      <c r="C378">
        <v>1</v>
      </c>
      <c r="D378" s="19" t="str">
        <f>IF(MONTH(_xlfn.XLOOKUP(Attendance_Table[[#This Row],[session_id]],Sessions_Table[session_id],Sessions_Table[session_date]))=MONTH(MAX(Sessions_Table[session_date])),"Yes","No")</f>
        <v>No</v>
      </c>
    </row>
    <row r="379" spans="1:4" x14ac:dyDescent="0.25">
      <c r="A379">
        <v>103</v>
      </c>
      <c r="B379">
        <v>1019</v>
      </c>
      <c r="C379">
        <v>1</v>
      </c>
      <c r="D379" s="19" t="str">
        <f>IF(MONTH(_xlfn.XLOOKUP(Attendance_Table[[#This Row],[session_id]],Sessions_Table[session_id],Sessions_Table[session_date]))=MONTH(MAX(Sessions_Table[session_date])),"Yes","No")</f>
        <v>No</v>
      </c>
    </row>
    <row r="380" spans="1:4" x14ac:dyDescent="0.25">
      <c r="A380">
        <v>104</v>
      </c>
      <c r="B380">
        <v>1015</v>
      </c>
      <c r="C380">
        <v>1</v>
      </c>
      <c r="D380" s="19" t="str">
        <f>IF(MONTH(_xlfn.XLOOKUP(Attendance_Table[[#This Row],[session_id]],Sessions_Table[session_id],Sessions_Table[session_date]))=MONTH(MAX(Sessions_Table[session_date])),"Yes","No")</f>
        <v>No</v>
      </c>
    </row>
    <row r="381" spans="1:4" x14ac:dyDescent="0.25">
      <c r="A381">
        <v>104</v>
      </c>
      <c r="B381">
        <v>1019</v>
      </c>
      <c r="C381">
        <v>1</v>
      </c>
      <c r="D381" s="19" t="str">
        <f>IF(MONTH(_xlfn.XLOOKUP(Attendance_Table[[#This Row],[session_id]],Sessions_Table[session_id],Sessions_Table[session_date]))=MONTH(MAX(Sessions_Table[session_date])),"Yes","No")</f>
        <v>No</v>
      </c>
    </row>
    <row r="382" spans="1:4" x14ac:dyDescent="0.25">
      <c r="A382">
        <v>105</v>
      </c>
      <c r="B382">
        <v>1015</v>
      </c>
      <c r="C382">
        <v>1</v>
      </c>
      <c r="D382" s="19" t="str">
        <f>IF(MONTH(_xlfn.XLOOKUP(Attendance_Table[[#This Row],[session_id]],Sessions_Table[session_id],Sessions_Table[session_date]))=MONTH(MAX(Sessions_Table[session_date])),"Yes","No")</f>
        <v>No</v>
      </c>
    </row>
    <row r="383" spans="1:4" x14ac:dyDescent="0.25">
      <c r="A383">
        <v>105</v>
      </c>
      <c r="B383">
        <v>1019</v>
      </c>
      <c r="C383">
        <v>0</v>
      </c>
      <c r="D383" s="19" t="str">
        <f>IF(MONTH(_xlfn.XLOOKUP(Attendance_Table[[#This Row],[session_id]],Sessions_Table[session_id],Sessions_Table[session_date]))=MONTH(MAX(Sessions_Table[session_date])),"Yes","No")</f>
        <v>No</v>
      </c>
    </row>
    <row r="384" spans="1:4" x14ac:dyDescent="0.25">
      <c r="A384">
        <v>106</v>
      </c>
      <c r="B384">
        <v>1015</v>
      </c>
      <c r="C384">
        <v>1</v>
      </c>
      <c r="D384" s="19" t="str">
        <f>IF(MONTH(_xlfn.XLOOKUP(Attendance_Table[[#This Row],[session_id]],Sessions_Table[session_id],Sessions_Table[session_date]))=MONTH(MAX(Sessions_Table[session_date])),"Yes","No")</f>
        <v>No</v>
      </c>
    </row>
    <row r="385" spans="1:4" x14ac:dyDescent="0.25">
      <c r="A385">
        <v>106</v>
      </c>
      <c r="B385">
        <v>1019</v>
      </c>
      <c r="C385">
        <v>1</v>
      </c>
      <c r="D385" s="19" t="str">
        <f>IF(MONTH(_xlfn.XLOOKUP(Attendance_Table[[#This Row],[session_id]],Sessions_Table[session_id],Sessions_Table[session_date]))=MONTH(MAX(Sessions_Table[session_date])),"Yes","No")</f>
        <v>No</v>
      </c>
    </row>
    <row r="386" spans="1:4" x14ac:dyDescent="0.25">
      <c r="A386">
        <v>107</v>
      </c>
      <c r="B386">
        <v>1015</v>
      </c>
      <c r="C386">
        <v>1</v>
      </c>
      <c r="D386" s="19" t="str">
        <f>IF(MONTH(_xlfn.XLOOKUP(Attendance_Table[[#This Row],[session_id]],Sessions_Table[session_id],Sessions_Table[session_date]))=MONTH(MAX(Sessions_Table[session_date])),"Yes","No")</f>
        <v>No</v>
      </c>
    </row>
    <row r="387" spans="1:4" x14ac:dyDescent="0.25">
      <c r="A387">
        <v>107</v>
      </c>
      <c r="B387">
        <v>1019</v>
      </c>
      <c r="C387">
        <v>1</v>
      </c>
      <c r="D387" s="19" t="str">
        <f>IF(MONTH(_xlfn.XLOOKUP(Attendance_Table[[#This Row],[session_id]],Sessions_Table[session_id],Sessions_Table[session_date]))=MONTH(MAX(Sessions_Table[session_date])),"Yes","No")</f>
        <v>No</v>
      </c>
    </row>
    <row r="388" spans="1:4" x14ac:dyDescent="0.25">
      <c r="A388">
        <v>108</v>
      </c>
      <c r="B388">
        <v>1015</v>
      </c>
      <c r="C388">
        <v>1</v>
      </c>
      <c r="D388" s="19" t="str">
        <f>IF(MONTH(_xlfn.XLOOKUP(Attendance_Table[[#This Row],[session_id]],Sessions_Table[session_id],Sessions_Table[session_date]))=MONTH(MAX(Sessions_Table[session_date])),"Yes","No")</f>
        <v>No</v>
      </c>
    </row>
    <row r="389" spans="1:4" x14ac:dyDescent="0.25">
      <c r="A389">
        <v>108</v>
      </c>
      <c r="B389">
        <v>1019</v>
      </c>
      <c r="C389">
        <v>1</v>
      </c>
      <c r="D389" s="19" t="str">
        <f>IF(MONTH(_xlfn.XLOOKUP(Attendance_Table[[#This Row],[session_id]],Sessions_Table[session_id],Sessions_Table[session_date]))=MONTH(MAX(Sessions_Table[session_date])),"Yes","No")</f>
        <v>No</v>
      </c>
    </row>
    <row r="390" spans="1:4" x14ac:dyDescent="0.25">
      <c r="A390">
        <v>109</v>
      </c>
      <c r="B390">
        <v>1015</v>
      </c>
      <c r="C390">
        <v>1</v>
      </c>
      <c r="D390" s="19" t="str">
        <f>IF(MONTH(_xlfn.XLOOKUP(Attendance_Table[[#This Row],[session_id]],Sessions_Table[session_id],Sessions_Table[session_date]))=MONTH(MAX(Sessions_Table[session_date])),"Yes","No")</f>
        <v>No</v>
      </c>
    </row>
    <row r="391" spans="1:4" x14ac:dyDescent="0.25">
      <c r="A391">
        <v>109</v>
      </c>
      <c r="B391">
        <v>1019</v>
      </c>
      <c r="C391">
        <v>1</v>
      </c>
      <c r="D391" s="19" t="str">
        <f>IF(MONTH(_xlfn.XLOOKUP(Attendance_Table[[#This Row],[session_id]],Sessions_Table[session_id],Sessions_Table[session_date]))=MONTH(MAX(Sessions_Table[session_date])),"Yes","No")</f>
        <v>No</v>
      </c>
    </row>
    <row r="392" spans="1:4" x14ac:dyDescent="0.25">
      <c r="A392">
        <v>110</v>
      </c>
      <c r="B392">
        <v>1015</v>
      </c>
      <c r="C392">
        <v>0</v>
      </c>
      <c r="D392" s="19" t="str">
        <f>IF(MONTH(_xlfn.XLOOKUP(Attendance_Table[[#This Row],[session_id]],Sessions_Table[session_id],Sessions_Table[session_date]))=MONTH(MAX(Sessions_Table[session_date])),"Yes","No")</f>
        <v>No</v>
      </c>
    </row>
    <row r="393" spans="1:4" x14ac:dyDescent="0.25">
      <c r="A393">
        <v>110</v>
      </c>
      <c r="B393">
        <v>1019</v>
      </c>
      <c r="C393">
        <v>1</v>
      </c>
      <c r="D393" s="19" t="str">
        <f>IF(MONTH(_xlfn.XLOOKUP(Attendance_Table[[#This Row],[session_id]],Sessions_Table[session_id],Sessions_Table[session_date]))=MONTH(MAX(Sessions_Table[session_date])),"Yes","No")</f>
        <v>No</v>
      </c>
    </row>
    <row r="394" spans="1:4" x14ac:dyDescent="0.25">
      <c r="A394">
        <v>111</v>
      </c>
      <c r="B394">
        <v>1017</v>
      </c>
      <c r="C394">
        <v>0</v>
      </c>
      <c r="D394" s="19" t="str">
        <f>IF(MONTH(_xlfn.XLOOKUP(Attendance_Table[[#This Row],[session_id]],Sessions_Table[session_id],Sessions_Table[session_date]))=MONTH(MAX(Sessions_Table[session_date])),"Yes","No")</f>
        <v>No</v>
      </c>
    </row>
    <row r="395" spans="1:4" x14ac:dyDescent="0.25">
      <c r="A395">
        <v>112</v>
      </c>
      <c r="B395">
        <v>1017</v>
      </c>
      <c r="C395">
        <v>0</v>
      </c>
      <c r="D395" s="19" t="str">
        <f>IF(MONTH(_xlfn.XLOOKUP(Attendance_Table[[#This Row],[session_id]],Sessions_Table[session_id],Sessions_Table[session_date]))=MONTH(MAX(Sessions_Table[session_date])),"Yes","No")</f>
        <v>No</v>
      </c>
    </row>
    <row r="396" spans="1:4" x14ac:dyDescent="0.25">
      <c r="A396">
        <v>113</v>
      </c>
      <c r="B396">
        <v>1017</v>
      </c>
      <c r="C396">
        <v>1</v>
      </c>
      <c r="D396" s="19" t="str">
        <f>IF(MONTH(_xlfn.XLOOKUP(Attendance_Table[[#This Row],[session_id]],Sessions_Table[session_id],Sessions_Table[session_date]))=MONTH(MAX(Sessions_Table[session_date])),"Yes","No")</f>
        <v>No</v>
      </c>
    </row>
    <row r="397" spans="1:4" x14ac:dyDescent="0.25">
      <c r="A397">
        <v>114</v>
      </c>
      <c r="B397">
        <v>1017</v>
      </c>
      <c r="C397">
        <v>0</v>
      </c>
      <c r="D397" s="19" t="str">
        <f>IF(MONTH(_xlfn.XLOOKUP(Attendance_Table[[#This Row],[session_id]],Sessions_Table[session_id],Sessions_Table[session_date]))=MONTH(MAX(Sessions_Table[session_date])),"Yes","No")</f>
        <v>No</v>
      </c>
    </row>
    <row r="398" spans="1:4" x14ac:dyDescent="0.25">
      <c r="A398">
        <v>115</v>
      </c>
      <c r="B398">
        <v>1017</v>
      </c>
      <c r="C398">
        <v>1</v>
      </c>
      <c r="D398" s="19" t="str">
        <f>IF(MONTH(_xlfn.XLOOKUP(Attendance_Table[[#This Row],[session_id]],Sessions_Table[session_id],Sessions_Table[session_date]))=MONTH(MAX(Sessions_Table[session_date])),"Yes","No")</f>
        <v>No</v>
      </c>
    </row>
    <row r="399" spans="1:4" x14ac:dyDescent="0.25">
      <c r="A399">
        <v>116</v>
      </c>
      <c r="B399">
        <v>1017</v>
      </c>
      <c r="C399">
        <v>1</v>
      </c>
      <c r="D399" s="19" t="str">
        <f>IF(MONTH(_xlfn.XLOOKUP(Attendance_Table[[#This Row],[session_id]],Sessions_Table[session_id],Sessions_Table[session_date]))=MONTH(MAX(Sessions_Table[session_date])),"Yes","No")</f>
        <v>No</v>
      </c>
    </row>
    <row r="400" spans="1:4" x14ac:dyDescent="0.25">
      <c r="A400">
        <v>117</v>
      </c>
      <c r="B400">
        <v>1017</v>
      </c>
      <c r="C400">
        <v>0</v>
      </c>
      <c r="D400" s="19" t="str">
        <f>IF(MONTH(_xlfn.XLOOKUP(Attendance_Table[[#This Row],[session_id]],Sessions_Table[session_id],Sessions_Table[session_date]))=MONTH(MAX(Sessions_Table[session_date])),"Yes","No")</f>
        <v>No</v>
      </c>
    </row>
    <row r="401" spans="1:4" x14ac:dyDescent="0.25">
      <c r="A401">
        <v>118</v>
      </c>
      <c r="B401">
        <v>1017</v>
      </c>
      <c r="C401">
        <v>1</v>
      </c>
      <c r="D401" s="19" t="str">
        <f>IF(MONTH(_xlfn.XLOOKUP(Attendance_Table[[#This Row],[session_id]],Sessions_Table[session_id],Sessions_Table[session_date]))=MONTH(MAX(Sessions_Table[session_date])),"Yes","No")</f>
        <v>No</v>
      </c>
    </row>
    <row r="402" spans="1:4" x14ac:dyDescent="0.25">
      <c r="A402">
        <v>119</v>
      </c>
      <c r="B402">
        <v>1017</v>
      </c>
      <c r="C402">
        <v>1</v>
      </c>
      <c r="D402" s="19" t="str">
        <f>IF(MONTH(_xlfn.XLOOKUP(Attendance_Table[[#This Row],[session_id]],Sessions_Table[session_id],Sessions_Table[session_date]))=MONTH(MAX(Sessions_Table[session_date])),"Yes","No")</f>
        <v>No</v>
      </c>
    </row>
    <row r="403" spans="1:4" x14ac:dyDescent="0.25">
      <c r="A403">
        <v>120</v>
      </c>
      <c r="B403">
        <v>1017</v>
      </c>
      <c r="C403">
        <v>1</v>
      </c>
      <c r="D403" s="19" t="str">
        <f>IF(MONTH(_xlfn.XLOOKUP(Attendance_Table[[#This Row],[session_id]],Sessions_Table[session_id],Sessions_Table[session_date]))=MONTH(MAX(Sessions_Table[session_date])),"Yes","No")</f>
        <v>No</v>
      </c>
    </row>
    <row r="404" spans="1:4" x14ac:dyDescent="0.25">
      <c r="A404">
        <v>121</v>
      </c>
      <c r="B404">
        <v>1023</v>
      </c>
      <c r="C404">
        <v>1</v>
      </c>
      <c r="D404" s="19" t="str">
        <f>IF(MONTH(_xlfn.XLOOKUP(Attendance_Table[[#This Row],[session_id]],Sessions_Table[session_id],Sessions_Table[session_date]))=MONTH(MAX(Sessions_Table[session_date])),"Yes","No")</f>
        <v>No</v>
      </c>
    </row>
    <row r="405" spans="1:4" x14ac:dyDescent="0.25">
      <c r="A405">
        <v>122</v>
      </c>
      <c r="B405">
        <v>1023</v>
      </c>
      <c r="C405">
        <v>1</v>
      </c>
      <c r="D405" s="19" t="str">
        <f>IF(MONTH(_xlfn.XLOOKUP(Attendance_Table[[#This Row],[session_id]],Sessions_Table[session_id],Sessions_Table[session_date]))=MONTH(MAX(Sessions_Table[session_date])),"Yes","No")</f>
        <v>No</v>
      </c>
    </row>
    <row r="406" spans="1:4" x14ac:dyDescent="0.25">
      <c r="A406">
        <v>123</v>
      </c>
      <c r="B406">
        <v>1023</v>
      </c>
      <c r="C406">
        <v>1</v>
      </c>
      <c r="D406" s="19" t="str">
        <f>IF(MONTH(_xlfn.XLOOKUP(Attendance_Table[[#This Row],[session_id]],Sessions_Table[session_id],Sessions_Table[session_date]))=MONTH(MAX(Sessions_Table[session_date])),"Yes","No")</f>
        <v>No</v>
      </c>
    </row>
    <row r="407" spans="1:4" x14ac:dyDescent="0.25">
      <c r="A407">
        <v>124</v>
      </c>
      <c r="B407">
        <v>1023</v>
      </c>
      <c r="C407">
        <v>1</v>
      </c>
      <c r="D407" s="19" t="str">
        <f>IF(MONTH(_xlfn.XLOOKUP(Attendance_Table[[#This Row],[session_id]],Sessions_Table[session_id],Sessions_Table[session_date]))=MONTH(MAX(Sessions_Table[session_date])),"Yes","No")</f>
        <v>No</v>
      </c>
    </row>
    <row r="408" spans="1:4" x14ac:dyDescent="0.25">
      <c r="A408">
        <v>125</v>
      </c>
      <c r="B408">
        <v>1023</v>
      </c>
      <c r="C408">
        <v>1</v>
      </c>
      <c r="D408" s="19" t="str">
        <f>IF(MONTH(_xlfn.XLOOKUP(Attendance_Table[[#This Row],[session_id]],Sessions_Table[session_id],Sessions_Table[session_date]))=MONTH(MAX(Sessions_Table[session_date])),"Yes","No")</f>
        <v>No</v>
      </c>
    </row>
    <row r="409" spans="1:4" x14ac:dyDescent="0.25">
      <c r="A409">
        <v>126</v>
      </c>
      <c r="B409">
        <v>1023</v>
      </c>
      <c r="C409">
        <v>1</v>
      </c>
      <c r="D409" s="19" t="str">
        <f>IF(MONTH(_xlfn.XLOOKUP(Attendance_Table[[#This Row],[session_id]],Sessions_Table[session_id],Sessions_Table[session_date]))=MONTH(MAX(Sessions_Table[session_date])),"Yes","No")</f>
        <v>No</v>
      </c>
    </row>
    <row r="410" spans="1:4" x14ac:dyDescent="0.25">
      <c r="A410">
        <v>127</v>
      </c>
      <c r="B410">
        <v>1023</v>
      </c>
      <c r="C410">
        <v>1</v>
      </c>
      <c r="D410" s="19" t="str">
        <f>IF(MONTH(_xlfn.XLOOKUP(Attendance_Table[[#This Row],[session_id]],Sessions_Table[session_id],Sessions_Table[session_date]))=MONTH(MAX(Sessions_Table[session_date])),"Yes","No")</f>
        <v>No</v>
      </c>
    </row>
    <row r="411" spans="1:4" x14ac:dyDescent="0.25">
      <c r="A411">
        <v>128</v>
      </c>
      <c r="B411">
        <v>1023</v>
      </c>
      <c r="C411">
        <v>0</v>
      </c>
      <c r="D411" s="19" t="str">
        <f>IF(MONTH(_xlfn.XLOOKUP(Attendance_Table[[#This Row],[session_id]],Sessions_Table[session_id],Sessions_Table[session_date]))=MONTH(MAX(Sessions_Table[session_date])),"Yes","No")</f>
        <v>No</v>
      </c>
    </row>
    <row r="412" spans="1:4" x14ac:dyDescent="0.25">
      <c r="A412">
        <v>129</v>
      </c>
      <c r="B412">
        <v>1023</v>
      </c>
      <c r="C412">
        <v>0</v>
      </c>
      <c r="D412" s="19" t="str">
        <f>IF(MONTH(_xlfn.XLOOKUP(Attendance_Table[[#This Row],[session_id]],Sessions_Table[session_id],Sessions_Table[session_date]))=MONTH(MAX(Sessions_Table[session_date])),"Yes","No")</f>
        <v>No</v>
      </c>
    </row>
    <row r="413" spans="1:4" x14ac:dyDescent="0.25">
      <c r="A413">
        <v>130</v>
      </c>
      <c r="B413">
        <v>1023</v>
      </c>
      <c r="C413">
        <v>1</v>
      </c>
      <c r="D413" s="19" t="str">
        <f>IF(MONTH(_xlfn.XLOOKUP(Attendance_Table[[#This Row],[session_id]],Sessions_Table[session_id],Sessions_Table[session_date]))=MONTH(MAX(Sessions_Table[session_date])),"Yes","No")</f>
        <v>No</v>
      </c>
    </row>
    <row r="414" spans="1:4" x14ac:dyDescent="0.25">
      <c r="A414">
        <v>131</v>
      </c>
      <c r="B414">
        <v>1005</v>
      </c>
      <c r="C414">
        <v>1</v>
      </c>
      <c r="D414" s="19" t="str">
        <f>IF(MONTH(_xlfn.XLOOKUP(Attendance_Table[[#This Row],[session_id]],Sessions_Table[session_id],Sessions_Table[session_date]))=MONTH(MAX(Sessions_Table[session_date])),"Yes","No")</f>
        <v>No</v>
      </c>
    </row>
    <row r="415" spans="1:4" x14ac:dyDescent="0.25">
      <c r="A415">
        <v>131</v>
      </c>
      <c r="B415">
        <v>1016</v>
      </c>
      <c r="C415">
        <v>1</v>
      </c>
      <c r="D415" s="19" t="str">
        <f>IF(MONTH(_xlfn.XLOOKUP(Attendance_Table[[#This Row],[session_id]],Sessions_Table[session_id],Sessions_Table[session_date]))=MONTH(MAX(Sessions_Table[session_date])),"Yes","No")</f>
        <v>No</v>
      </c>
    </row>
    <row r="416" spans="1:4" x14ac:dyDescent="0.25">
      <c r="A416">
        <v>131</v>
      </c>
      <c r="B416">
        <v>1028</v>
      </c>
      <c r="C416">
        <v>1</v>
      </c>
      <c r="D416" s="19" t="str">
        <f>IF(MONTH(_xlfn.XLOOKUP(Attendance_Table[[#This Row],[session_id]],Sessions_Table[session_id],Sessions_Table[session_date]))=MONTH(MAX(Sessions_Table[session_date])),"Yes","No")</f>
        <v>No</v>
      </c>
    </row>
    <row r="417" spans="1:4" x14ac:dyDescent="0.25">
      <c r="A417">
        <v>132</v>
      </c>
      <c r="B417">
        <v>1005</v>
      </c>
      <c r="C417">
        <v>1</v>
      </c>
      <c r="D417" s="19" t="str">
        <f>IF(MONTH(_xlfn.XLOOKUP(Attendance_Table[[#This Row],[session_id]],Sessions_Table[session_id],Sessions_Table[session_date]))=MONTH(MAX(Sessions_Table[session_date])),"Yes","No")</f>
        <v>No</v>
      </c>
    </row>
    <row r="418" spans="1:4" x14ac:dyDescent="0.25">
      <c r="A418">
        <v>132</v>
      </c>
      <c r="B418">
        <v>1016</v>
      </c>
      <c r="C418">
        <v>0</v>
      </c>
      <c r="D418" s="19" t="str">
        <f>IF(MONTH(_xlfn.XLOOKUP(Attendance_Table[[#This Row],[session_id]],Sessions_Table[session_id],Sessions_Table[session_date]))=MONTH(MAX(Sessions_Table[session_date])),"Yes","No")</f>
        <v>No</v>
      </c>
    </row>
    <row r="419" spans="1:4" x14ac:dyDescent="0.25">
      <c r="A419">
        <v>132</v>
      </c>
      <c r="B419">
        <v>1028</v>
      </c>
      <c r="C419">
        <v>1</v>
      </c>
      <c r="D419" s="19" t="str">
        <f>IF(MONTH(_xlfn.XLOOKUP(Attendance_Table[[#This Row],[session_id]],Sessions_Table[session_id],Sessions_Table[session_date]))=MONTH(MAX(Sessions_Table[session_date])),"Yes","No")</f>
        <v>No</v>
      </c>
    </row>
    <row r="420" spans="1:4" x14ac:dyDescent="0.25">
      <c r="A420">
        <v>133</v>
      </c>
      <c r="B420">
        <v>1005</v>
      </c>
      <c r="C420">
        <v>1</v>
      </c>
      <c r="D420" s="19" t="str">
        <f>IF(MONTH(_xlfn.XLOOKUP(Attendance_Table[[#This Row],[session_id]],Sessions_Table[session_id],Sessions_Table[session_date]))=MONTH(MAX(Sessions_Table[session_date])),"Yes","No")</f>
        <v>No</v>
      </c>
    </row>
    <row r="421" spans="1:4" x14ac:dyDescent="0.25">
      <c r="A421">
        <v>133</v>
      </c>
      <c r="B421">
        <v>1016</v>
      </c>
      <c r="C421">
        <v>0</v>
      </c>
      <c r="D421" s="19" t="str">
        <f>IF(MONTH(_xlfn.XLOOKUP(Attendance_Table[[#This Row],[session_id]],Sessions_Table[session_id],Sessions_Table[session_date]))=MONTH(MAX(Sessions_Table[session_date])),"Yes","No")</f>
        <v>No</v>
      </c>
    </row>
    <row r="422" spans="1:4" x14ac:dyDescent="0.25">
      <c r="A422">
        <v>133</v>
      </c>
      <c r="B422">
        <v>1028</v>
      </c>
      <c r="C422">
        <v>1</v>
      </c>
      <c r="D422" s="19" t="str">
        <f>IF(MONTH(_xlfn.XLOOKUP(Attendance_Table[[#This Row],[session_id]],Sessions_Table[session_id],Sessions_Table[session_date]))=MONTH(MAX(Sessions_Table[session_date])),"Yes","No")</f>
        <v>No</v>
      </c>
    </row>
    <row r="423" spans="1:4" x14ac:dyDescent="0.25">
      <c r="A423">
        <v>134</v>
      </c>
      <c r="B423">
        <v>1005</v>
      </c>
      <c r="C423">
        <v>1</v>
      </c>
      <c r="D423" s="19" t="str">
        <f>IF(MONTH(_xlfn.XLOOKUP(Attendance_Table[[#This Row],[session_id]],Sessions_Table[session_id],Sessions_Table[session_date]))=MONTH(MAX(Sessions_Table[session_date])),"Yes","No")</f>
        <v>No</v>
      </c>
    </row>
    <row r="424" spans="1:4" x14ac:dyDescent="0.25">
      <c r="A424">
        <v>134</v>
      </c>
      <c r="B424">
        <v>1016</v>
      </c>
      <c r="C424">
        <v>1</v>
      </c>
      <c r="D424" s="19" t="str">
        <f>IF(MONTH(_xlfn.XLOOKUP(Attendance_Table[[#This Row],[session_id]],Sessions_Table[session_id],Sessions_Table[session_date]))=MONTH(MAX(Sessions_Table[session_date])),"Yes","No")</f>
        <v>No</v>
      </c>
    </row>
    <row r="425" spans="1:4" x14ac:dyDescent="0.25">
      <c r="A425">
        <v>134</v>
      </c>
      <c r="B425">
        <v>1028</v>
      </c>
      <c r="C425">
        <v>1</v>
      </c>
      <c r="D425" s="19" t="str">
        <f>IF(MONTH(_xlfn.XLOOKUP(Attendance_Table[[#This Row],[session_id]],Sessions_Table[session_id],Sessions_Table[session_date]))=MONTH(MAX(Sessions_Table[session_date])),"Yes","No")</f>
        <v>No</v>
      </c>
    </row>
    <row r="426" spans="1:4" x14ac:dyDescent="0.25">
      <c r="A426">
        <v>135</v>
      </c>
      <c r="B426">
        <v>1005</v>
      </c>
      <c r="C426">
        <v>1</v>
      </c>
      <c r="D426" s="19" t="str">
        <f>IF(MONTH(_xlfn.XLOOKUP(Attendance_Table[[#This Row],[session_id]],Sessions_Table[session_id],Sessions_Table[session_date]))=MONTH(MAX(Sessions_Table[session_date])),"Yes","No")</f>
        <v>No</v>
      </c>
    </row>
    <row r="427" spans="1:4" x14ac:dyDescent="0.25">
      <c r="A427">
        <v>135</v>
      </c>
      <c r="B427">
        <v>1016</v>
      </c>
      <c r="C427">
        <v>1</v>
      </c>
      <c r="D427" s="19" t="str">
        <f>IF(MONTH(_xlfn.XLOOKUP(Attendance_Table[[#This Row],[session_id]],Sessions_Table[session_id],Sessions_Table[session_date]))=MONTH(MAX(Sessions_Table[session_date])),"Yes","No")</f>
        <v>No</v>
      </c>
    </row>
    <row r="428" spans="1:4" x14ac:dyDescent="0.25">
      <c r="A428">
        <v>135</v>
      </c>
      <c r="B428">
        <v>1028</v>
      </c>
      <c r="C428">
        <v>1</v>
      </c>
      <c r="D428" s="19" t="str">
        <f>IF(MONTH(_xlfn.XLOOKUP(Attendance_Table[[#This Row],[session_id]],Sessions_Table[session_id],Sessions_Table[session_date]))=MONTH(MAX(Sessions_Table[session_date])),"Yes","No")</f>
        <v>No</v>
      </c>
    </row>
    <row r="429" spans="1:4" x14ac:dyDescent="0.25">
      <c r="A429">
        <v>136</v>
      </c>
      <c r="B429">
        <v>1005</v>
      </c>
      <c r="C429">
        <v>1</v>
      </c>
      <c r="D429" s="19" t="str">
        <f>IF(MONTH(_xlfn.XLOOKUP(Attendance_Table[[#This Row],[session_id]],Sessions_Table[session_id],Sessions_Table[session_date]))=MONTH(MAX(Sessions_Table[session_date])),"Yes","No")</f>
        <v>No</v>
      </c>
    </row>
    <row r="430" spans="1:4" x14ac:dyDescent="0.25">
      <c r="A430">
        <v>136</v>
      </c>
      <c r="B430">
        <v>1016</v>
      </c>
      <c r="C430">
        <v>1</v>
      </c>
      <c r="D430" s="19" t="str">
        <f>IF(MONTH(_xlfn.XLOOKUP(Attendance_Table[[#This Row],[session_id]],Sessions_Table[session_id],Sessions_Table[session_date]))=MONTH(MAX(Sessions_Table[session_date])),"Yes","No")</f>
        <v>No</v>
      </c>
    </row>
    <row r="431" spans="1:4" x14ac:dyDescent="0.25">
      <c r="A431">
        <v>136</v>
      </c>
      <c r="B431">
        <v>1028</v>
      </c>
      <c r="C431">
        <v>0</v>
      </c>
      <c r="D431" s="19" t="str">
        <f>IF(MONTH(_xlfn.XLOOKUP(Attendance_Table[[#This Row],[session_id]],Sessions_Table[session_id],Sessions_Table[session_date]))=MONTH(MAX(Sessions_Table[session_date])),"Yes","No")</f>
        <v>No</v>
      </c>
    </row>
    <row r="432" spans="1:4" x14ac:dyDescent="0.25">
      <c r="A432">
        <v>137</v>
      </c>
      <c r="B432">
        <v>1005</v>
      </c>
      <c r="C432">
        <v>1</v>
      </c>
      <c r="D432" s="19" t="str">
        <f>IF(MONTH(_xlfn.XLOOKUP(Attendance_Table[[#This Row],[session_id]],Sessions_Table[session_id],Sessions_Table[session_date]))=MONTH(MAX(Sessions_Table[session_date])),"Yes","No")</f>
        <v>No</v>
      </c>
    </row>
    <row r="433" spans="1:4" x14ac:dyDescent="0.25">
      <c r="A433">
        <v>137</v>
      </c>
      <c r="B433">
        <v>1016</v>
      </c>
      <c r="C433">
        <v>1</v>
      </c>
      <c r="D433" s="19" t="str">
        <f>IF(MONTH(_xlfn.XLOOKUP(Attendance_Table[[#This Row],[session_id]],Sessions_Table[session_id],Sessions_Table[session_date]))=MONTH(MAX(Sessions_Table[session_date])),"Yes","No")</f>
        <v>No</v>
      </c>
    </row>
    <row r="434" spans="1:4" x14ac:dyDescent="0.25">
      <c r="A434">
        <v>137</v>
      </c>
      <c r="B434">
        <v>1028</v>
      </c>
      <c r="C434">
        <v>1</v>
      </c>
      <c r="D434" s="19" t="str">
        <f>IF(MONTH(_xlfn.XLOOKUP(Attendance_Table[[#This Row],[session_id]],Sessions_Table[session_id],Sessions_Table[session_date]))=MONTH(MAX(Sessions_Table[session_date])),"Yes","No")</f>
        <v>No</v>
      </c>
    </row>
    <row r="435" spans="1:4" x14ac:dyDescent="0.25">
      <c r="A435">
        <v>138</v>
      </c>
      <c r="B435">
        <v>1005</v>
      </c>
      <c r="C435">
        <v>1</v>
      </c>
      <c r="D435" s="19" t="str">
        <f>IF(MONTH(_xlfn.XLOOKUP(Attendance_Table[[#This Row],[session_id]],Sessions_Table[session_id],Sessions_Table[session_date]))=MONTH(MAX(Sessions_Table[session_date])),"Yes","No")</f>
        <v>No</v>
      </c>
    </row>
    <row r="436" spans="1:4" x14ac:dyDescent="0.25">
      <c r="A436">
        <v>138</v>
      </c>
      <c r="B436">
        <v>1016</v>
      </c>
      <c r="C436">
        <v>1</v>
      </c>
      <c r="D436" s="19" t="str">
        <f>IF(MONTH(_xlfn.XLOOKUP(Attendance_Table[[#This Row],[session_id]],Sessions_Table[session_id],Sessions_Table[session_date]))=MONTH(MAX(Sessions_Table[session_date])),"Yes","No")</f>
        <v>No</v>
      </c>
    </row>
    <row r="437" spans="1:4" x14ac:dyDescent="0.25">
      <c r="A437">
        <v>138</v>
      </c>
      <c r="B437">
        <v>1028</v>
      </c>
      <c r="C437">
        <v>0</v>
      </c>
      <c r="D437" s="19" t="str">
        <f>IF(MONTH(_xlfn.XLOOKUP(Attendance_Table[[#This Row],[session_id]],Sessions_Table[session_id],Sessions_Table[session_date]))=MONTH(MAX(Sessions_Table[session_date])),"Yes","No")</f>
        <v>No</v>
      </c>
    </row>
    <row r="438" spans="1:4" x14ac:dyDescent="0.25">
      <c r="A438">
        <v>139</v>
      </c>
      <c r="B438">
        <v>1005</v>
      </c>
      <c r="C438">
        <v>0</v>
      </c>
      <c r="D438" s="19" t="str">
        <f>IF(MONTH(_xlfn.XLOOKUP(Attendance_Table[[#This Row],[session_id]],Sessions_Table[session_id],Sessions_Table[session_date]))=MONTH(MAX(Sessions_Table[session_date])),"Yes","No")</f>
        <v>No</v>
      </c>
    </row>
    <row r="439" spans="1:4" x14ac:dyDescent="0.25">
      <c r="A439">
        <v>139</v>
      </c>
      <c r="B439">
        <v>1016</v>
      </c>
      <c r="C439">
        <v>0</v>
      </c>
      <c r="D439" s="19" t="str">
        <f>IF(MONTH(_xlfn.XLOOKUP(Attendance_Table[[#This Row],[session_id]],Sessions_Table[session_id],Sessions_Table[session_date]))=MONTH(MAX(Sessions_Table[session_date])),"Yes","No")</f>
        <v>No</v>
      </c>
    </row>
    <row r="440" spans="1:4" x14ac:dyDescent="0.25">
      <c r="A440">
        <v>139</v>
      </c>
      <c r="B440">
        <v>1028</v>
      </c>
      <c r="C440">
        <v>1</v>
      </c>
      <c r="D440" s="19" t="str">
        <f>IF(MONTH(_xlfn.XLOOKUP(Attendance_Table[[#This Row],[session_id]],Sessions_Table[session_id],Sessions_Table[session_date]))=MONTH(MAX(Sessions_Table[session_date])),"Yes","No")</f>
        <v>No</v>
      </c>
    </row>
    <row r="441" spans="1:4" x14ac:dyDescent="0.25">
      <c r="A441">
        <v>140</v>
      </c>
      <c r="B441">
        <v>1005</v>
      </c>
      <c r="C441">
        <v>1</v>
      </c>
      <c r="D441" s="19" t="str">
        <f>IF(MONTH(_xlfn.XLOOKUP(Attendance_Table[[#This Row],[session_id]],Sessions_Table[session_id],Sessions_Table[session_date]))=MONTH(MAX(Sessions_Table[session_date])),"Yes","No")</f>
        <v>No</v>
      </c>
    </row>
    <row r="442" spans="1:4" x14ac:dyDescent="0.25">
      <c r="A442">
        <v>140</v>
      </c>
      <c r="B442">
        <v>1016</v>
      </c>
      <c r="C442">
        <v>1</v>
      </c>
      <c r="D442" s="19" t="str">
        <f>IF(MONTH(_xlfn.XLOOKUP(Attendance_Table[[#This Row],[session_id]],Sessions_Table[session_id],Sessions_Table[session_date]))=MONTH(MAX(Sessions_Table[session_date])),"Yes","No")</f>
        <v>No</v>
      </c>
    </row>
    <row r="443" spans="1:4" x14ac:dyDescent="0.25">
      <c r="A443">
        <v>140</v>
      </c>
      <c r="B443">
        <v>1028</v>
      </c>
      <c r="C443">
        <v>1</v>
      </c>
      <c r="D443" s="19" t="str">
        <f>IF(MONTH(_xlfn.XLOOKUP(Attendance_Table[[#This Row],[session_id]],Sessions_Table[session_id],Sessions_Table[session_date]))=MONTH(MAX(Sessions_Table[session_date])),"Yes","No")</f>
        <v>No</v>
      </c>
    </row>
    <row r="444" spans="1:4" x14ac:dyDescent="0.25">
      <c r="A444">
        <v>141</v>
      </c>
      <c r="B444">
        <v>1005</v>
      </c>
      <c r="C444">
        <v>1</v>
      </c>
      <c r="D444" s="19" t="str">
        <f>IF(MONTH(_xlfn.XLOOKUP(Attendance_Table[[#This Row],[session_id]],Sessions_Table[session_id],Sessions_Table[session_date]))=MONTH(MAX(Sessions_Table[session_date])),"Yes","No")</f>
        <v>No</v>
      </c>
    </row>
    <row r="445" spans="1:4" x14ac:dyDescent="0.25">
      <c r="A445">
        <v>141</v>
      </c>
      <c r="B445">
        <v>1016</v>
      </c>
      <c r="C445">
        <v>1</v>
      </c>
      <c r="D445" s="19" t="str">
        <f>IF(MONTH(_xlfn.XLOOKUP(Attendance_Table[[#This Row],[session_id]],Sessions_Table[session_id],Sessions_Table[session_date]))=MONTH(MAX(Sessions_Table[session_date])),"Yes","No")</f>
        <v>No</v>
      </c>
    </row>
    <row r="446" spans="1:4" x14ac:dyDescent="0.25">
      <c r="A446">
        <v>141</v>
      </c>
      <c r="B446">
        <v>1028</v>
      </c>
      <c r="C446">
        <v>0</v>
      </c>
      <c r="D446" s="19" t="str">
        <f>IF(MONTH(_xlfn.XLOOKUP(Attendance_Table[[#This Row],[session_id]],Sessions_Table[session_id],Sessions_Table[session_date]))=MONTH(MAX(Sessions_Table[session_date])),"Yes","No")</f>
        <v>No</v>
      </c>
    </row>
    <row r="447" spans="1:4" x14ac:dyDescent="0.25">
      <c r="A447">
        <v>142</v>
      </c>
      <c r="B447">
        <v>1005</v>
      </c>
      <c r="C447">
        <v>1</v>
      </c>
      <c r="D447" s="19" t="str">
        <f>IF(MONTH(_xlfn.XLOOKUP(Attendance_Table[[#This Row],[session_id]],Sessions_Table[session_id],Sessions_Table[session_date]))=MONTH(MAX(Sessions_Table[session_date])),"Yes","No")</f>
        <v>No</v>
      </c>
    </row>
    <row r="448" spans="1:4" x14ac:dyDescent="0.25">
      <c r="A448">
        <v>142</v>
      </c>
      <c r="B448">
        <v>1016</v>
      </c>
      <c r="C448">
        <v>1</v>
      </c>
      <c r="D448" s="19" t="str">
        <f>IF(MONTH(_xlfn.XLOOKUP(Attendance_Table[[#This Row],[session_id]],Sessions_Table[session_id],Sessions_Table[session_date]))=MONTH(MAX(Sessions_Table[session_date])),"Yes","No")</f>
        <v>No</v>
      </c>
    </row>
    <row r="449" spans="1:4" x14ac:dyDescent="0.25">
      <c r="A449">
        <v>142</v>
      </c>
      <c r="B449">
        <v>1028</v>
      </c>
      <c r="C449">
        <v>1</v>
      </c>
      <c r="D449" s="19" t="str">
        <f>IF(MONTH(_xlfn.XLOOKUP(Attendance_Table[[#This Row],[session_id]],Sessions_Table[session_id],Sessions_Table[session_date]))=MONTH(MAX(Sessions_Table[session_date])),"Yes","No")</f>
        <v>No</v>
      </c>
    </row>
    <row r="450" spans="1:4" x14ac:dyDescent="0.25">
      <c r="A450">
        <v>143</v>
      </c>
      <c r="B450">
        <v>1005</v>
      </c>
      <c r="C450">
        <v>0</v>
      </c>
      <c r="D450" s="19" t="str">
        <f>IF(MONTH(_xlfn.XLOOKUP(Attendance_Table[[#This Row],[session_id]],Sessions_Table[session_id],Sessions_Table[session_date]))=MONTH(MAX(Sessions_Table[session_date])),"Yes","No")</f>
        <v>No</v>
      </c>
    </row>
    <row r="451" spans="1:4" x14ac:dyDescent="0.25">
      <c r="A451">
        <v>143</v>
      </c>
      <c r="B451">
        <v>1016</v>
      </c>
      <c r="C451">
        <v>1</v>
      </c>
      <c r="D451" s="19" t="str">
        <f>IF(MONTH(_xlfn.XLOOKUP(Attendance_Table[[#This Row],[session_id]],Sessions_Table[session_id],Sessions_Table[session_date]))=MONTH(MAX(Sessions_Table[session_date])),"Yes","No")</f>
        <v>No</v>
      </c>
    </row>
    <row r="452" spans="1:4" x14ac:dyDescent="0.25">
      <c r="A452">
        <v>143</v>
      </c>
      <c r="B452">
        <v>1028</v>
      </c>
      <c r="C452">
        <v>0</v>
      </c>
      <c r="D452" s="19" t="str">
        <f>IF(MONTH(_xlfn.XLOOKUP(Attendance_Table[[#This Row],[session_id]],Sessions_Table[session_id],Sessions_Table[session_date]))=MONTH(MAX(Sessions_Table[session_date])),"Yes","No")</f>
        <v>No</v>
      </c>
    </row>
    <row r="453" spans="1:4" x14ac:dyDescent="0.25">
      <c r="A453">
        <v>144</v>
      </c>
      <c r="B453">
        <v>1005</v>
      </c>
      <c r="C453">
        <v>1</v>
      </c>
      <c r="D453" s="19" t="str">
        <f>IF(MONTH(_xlfn.XLOOKUP(Attendance_Table[[#This Row],[session_id]],Sessions_Table[session_id],Sessions_Table[session_date]))=MONTH(MAX(Sessions_Table[session_date])),"Yes","No")</f>
        <v>No</v>
      </c>
    </row>
    <row r="454" spans="1:4" x14ac:dyDescent="0.25">
      <c r="A454">
        <v>144</v>
      </c>
      <c r="B454">
        <v>1016</v>
      </c>
      <c r="C454">
        <v>1</v>
      </c>
      <c r="D454" s="19" t="str">
        <f>IF(MONTH(_xlfn.XLOOKUP(Attendance_Table[[#This Row],[session_id]],Sessions_Table[session_id],Sessions_Table[session_date]))=MONTH(MAX(Sessions_Table[session_date])),"Yes","No")</f>
        <v>No</v>
      </c>
    </row>
    <row r="455" spans="1:4" x14ac:dyDescent="0.25">
      <c r="A455">
        <v>144</v>
      </c>
      <c r="B455">
        <v>1028</v>
      </c>
      <c r="C455">
        <v>0</v>
      </c>
      <c r="D455" s="19" t="str">
        <f>IF(MONTH(_xlfn.XLOOKUP(Attendance_Table[[#This Row],[session_id]],Sessions_Table[session_id],Sessions_Table[session_date]))=MONTH(MAX(Sessions_Table[session_date])),"Yes","No")</f>
        <v>No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51EB-015B-42C3-9325-232B2C6E56AE}">
  <dimension ref="B2:C11"/>
  <sheetViews>
    <sheetView workbookViewId="0">
      <selection activeCell="C9" sqref="C9"/>
    </sheetView>
  </sheetViews>
  <sheetFormatPr defaultRowHeight="15" x14ac:dyDescent="0.25"/>
  <cols>
    <col min="1" max="1" width="7.28515625" customWidth="1"/>
    <col min="2" max="3" width="17.85546875" bestFit="1" customWidth="1"/>
  </cols>
  <sheetData>
    <row r="2" spans="2:3" x14ac:dyDescent="0.25">
      <c r="B2" s="15" t="s">
        <v>249</v>
      </c>
      <c r="C2" s="18" t="s">
        <v>251</v>
      </c>
    </row>
    <row r="3" spans="2:3" x14ac:dyDescent="0.25">
      <c r="B3" s="14" t="s">
        <v>93</v>
      </c>
      <c r="C3" s="19">
        <v>6</v>
      </c>
    </row>
    <row r="4" spans="2:3" x14ac:dyDescent="0.25">
      <c r="B4" s="14" t="s">
        <v>110</v>
      </c>
      <c r="C4" s="19">
        <v>2</v>
      </c>
    </row>
    <row r="5" spans="2:3" x14ac:dyDescent="0.25">
      <c r="B5" s="14" t="s">
        <v>133</v>
      </c>
      <c r="C5" s="19">
        <v>2</v>
      </c>
    </row>
    <row r="6" spans="2:3" x14ac:dyDescent="0.25">
      <c r="B6" s="14" t="s">
        <v>106</v>
      </c>
      <c r="C6" s="19">
        <v>7</v>
      </c>
    </row>
    <row r="7" spans="2:3" x14ac:dyDescent="0.25">
      <c r="B7" s="14" t="s">
        <v>173</v>
      </c>
      <c r="C7" s="19">
        <v>3</v>
      </c>
    </row>
    <row r="8" spans="2:3" x14ac:dyDescent="0.25">
      <c r="B8" s="14" t="s">
        <v>101</v>
      </c>
      <c r="C8" s="19">
        <v>3</v>
      </c>
    </row>
    <row r="9" spans="2:3" x14ac:dyDescent="0.25">
      <c r="B9" s="14" t="s">
        <v>129</v>
      </c>
      <c r="C9" s="19">
        <v>3</v>
      </c>
    </row>
    <row r="10" spans="2:3" x14ac:dyDescent="0.25">
      <c r="B10" s="14" t="s">
        <v>140</v>
      </c>
      <c r="C10" s="19">
        <v>4</v>
      </c>
    </row>
    <row r="11" spans="2:3" x14ac:dyDescent="0.25">
      <c r="B11" s="17" t="s">
        <v>250</v>
      </c>
      <c r="C11" s="18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C3666-DE79-4876-92CD-335E3A795BE5}">
  <dimension ref="B2:F7"/>
  <sheetViews>
    <sheetView workbookViewId="0">
      <selection activeCell="F3" sqref="F3"/>
    </sheetView>
  </sheetViews>
  <sheetFormatPr defaultRowHeight="15" x14ac:dyDescent="0.25"/>
  <cols>
    <col min="1" max="1" width="8.28515625" customWidth="1"/>
    <col min="2" max="3" width="13.85546875" bestFit="1" customWidth="1"/>
    <col min="4" max="4" width="4.85546875" bestFit="1" customWidth="1"/>
    <col min="5" max="5" width="12.42578125" bestFit="1" customWidth="1"/>
    <col min="6" max="6" width="13.85546875" bestFit="1" customWidth="1"/>
    <col min="7" max="7" width="4.85546875" bestFit="1" customWidth="1"/>
    <col min="8" max="8" width="5.85546875" bestFit="1" customWidth="1"/>
    <col min="9" max="9" width="10.7109375" bestFit="1" customWidth="1"/>
    <col min="10" max="11" width="6.140625" bestFit="1" customWidth="1"/>
    <col min="12" max="29" width="6.42578125" bestFit="1" customWidth="1"/>
    <col min="30" max="37" width="6.85546875" bestFit="1" customWidth="1"/>
    <col min="38" max="38" width="10.7109375" bestFit="1" customWidth="1"/>
    <col min="39" max="39" width="9" bestFit="1" customWidth="1"/>
    <col min="40" max="40" width="10.7109375" bestFit="1" customWidth="1"/>
  </cols>
  <sheetData>
    <row r="2" spans="2:6" x14ac:dyDescent="0.25">
      <c r="B2" s="15" t="s">
        <v>249</v>
      </c>
      <c r="C2" s="18" t="s">
        <v>256</v>
      </c>
      <c r="E2" s="22" t="s">
        <v>249</v>
      </c>
      <c r="F2" s="18" t="s">
        <v>256</v>
      </c>
    </row>
    <row r="3" spans="2:6" x14ac:dyDescent="0.25">
      <c r="B3" s="14" t="s">
        <v>253</v>
      </c>
      <c r="C3" s="19">
        <v>124500</v>
      </c>
      <c r="E3" s="14" t="s">
        <v>81</v>
      </c>
      <c r="F3" s="29">
        <v>0.273542600896861</v>
      </c>
    </row>
    <row r="4" spans="2:6" x14ac:dyDescent="0.25">
      <c r="B4" s="14" t="s">
        <v>254</v>
      </c>
      <c r="C4" s="19">
        <v>158250</v>
      </c>
      <c r="E4" s="14" t="s">
        <v>84</v>
      </c>
      <c r="F4" s="29">
        <v>0.17040358744394618</v>
      </c>
    </row>
    <row r="5" spans="2:6" x14ac:dyDescent="0.25">
      <c r="B5" s="14" t="s">
        <v>255</v>
      </c>
      <c r="C5" s="19">
        <v>51750</v>
      </c>
      <c r="E5" s="14" t="s">
        <v>82</v>
      </c>
      <c r="F5" s="29">
        <v>0.30269058295964124</v>
      </c>
    </row>
    <row r="6" spans="2:6" x14ac:dyDescent="0.25">
      <c r="B6" s="17" t="s">
        <v>250</v>
      </c>
      <c r="C6" s="18">
        <v>334500</v>
      </c>
      <c r="E6" s="14" t="s">
        <v>83</v>
      </c>
      <c r="F6" s="29">
        <v>0.25336322869955158</v>
      </c>
    </row>
    <row r="7" spans="2:6" x14ac:dyDescent="0.25">
      <c r="E7" s="17" t="s">
        <v>250</v>
      </c>
      <c r="F7" s="30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2E701-893F-48D0-8136-AD3AC69AEAAC}">
  <dimension ref="B3:C10"/>
  <sheetViews>
    <sheetView workbookViewId="0">
      <selection activeCell="G21" sqref="G21"/>
    </sheetView>
  </sheetViews>
  <sheetFormatPr defaultRowHeight="15" x14ac:dyDescent="0.25"/>
  <cols>
    <col min="2" max="2" width="21.42578125" bestFit="1" customWidth="1"/>
    <col min="3" max="3" width="13.85546875" bestFit="1" customWidth="1"/>
    <col min="4" max="4" width="14.85546875" bestFit="1" customWidth="1"/>
    <col min="5" max="8" width="4.85546875" bestFit="1" customWidth="1"/>
    <col min="9" max="9" width="5.85546875" bestFit="1" customWidth="1"/>
    <col min="10" max="10" width="10.7109375" bestFit="1" customWidth="1"/>
  </cols>
  <sheetData>
    <row r="3" spans="2:3" x14ac:dyDescent="0.25">
      <c r="B3" s="31" t="s">
        <v>249</v>
      </c>
      <c r="C3" s="32" t="s">
        <v>256</v>
      </c>
    </row>
    <row r="4" spans="2:3" x14ac:dyDescent="0.25">
      <c r="B4" s="14" t="s">
        <v>204</v>
      </c>
      <c r="C4">
        <v>99000</v>
      </c>
    </row>
    <row r="5" spans="2:3" x14ac:dyDescent="0.25">
      <c r="B5" s="14" t="s">
        <v>210</v>
      </c>
      <c r="C5">
        <v>81000</v>
      </c>
    </row>
    <row r="6" spans="2:3" x14ac:dyDescent="0.25">
      <c r="B6" s="14" t="s">
        <v>196</v>
      </c>
      <c r="C6">
        <v>51000</v>
      </c>
    </row>
    <row r="7" spans="2:3" x14ac:dyDescent="0.25">
      <c r="B7" s="14" t="s">
        <v>206</v>
      </c>
      <c r="C7">
        <v>37500</v>
      </c>
    </row>
    <row r="8" spans="2:3" x14ac:dyDescent="0.25">
      <c r="B8" s="14" t="s">
        <v>200</v>
      </c>
      <c r="C8">
        <v>36000</v>
      </c>
    </row>
    <row r="9" spans="2:3" x14ac:dyDescent="0.25">
      <c r="B9" s="14" t="s">
        <v>198</v>
      </c>
      <c r="C9">
        <v>30000</v>
      </c>
    </row>
    <row r="10" spans="2:3" x14ac:dyDescent="0.25">
      <c r="B10" s="33" t="s">
        <v>250</v>
      </c>
      <c r="C10" s="32">
        <v>334500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CF0C-DE0A-42EB-B456-9CBB10C9580F}">
  <dimension ref="B3:C12"/>
  <sheetViews>
    <sheetView workbookViewId="0">
      <selection activeCell="C8" sqref="C8"/>
    </sheetView>
  </sheetViews>
  <sheetFormatPr defaultRowHeight="15" x14ac:dyDescent="0.25"/>
  <cols>
    <col min="1" max="2" width="12.42578125" bestFit="1" customWidth="1"/>
    <col min="3" max="3" width="13.7109375" bestFit="1" customWidth="1"/>
  </cols>
  <sheetData>
    <row r="3" spans="2:3" x14ac:dyDescent="0.25">
      <c r="B3" s="13" t="s">
        <v>249</v>
      </c>
      <c r="C3" t="s">
        <v>256</v>
      </c>
    </row>
    <row r="4" spans="2:3" x14ac:dyDescent="0.25">
      <c r="B4" s="14" t="s">
        <v>106</v>
      </c>
      <c r="C4">
        <v>76500</v>
      </c>
    </row>
    <row r="5" spans="2:3" x14ac:dyDescent="0.25">
      <c r="B5" s="14" t="s">
        <v>93</v>
      </c>
      <c r="C5">
        <v>61500</v>
      </c>
    </row>
    <row r="6" spans="2:3" x14ac:dyDescent="0.25">
      <c r="B6" s="14" t="s">
        <v>173</v>
      </c>
      <c r="C6">
        <v>37500</v>
      </c>
    </row>
    <row r="7" spans="2:3" x14ac:dyDescent="0.25">
      <c r="B7" s="14" t="s">
        <v>140</v>
      </c>
      <c r="C7">
        <v>34500</v>
      </c>
    </row>
    <row r="8" spans="2:3" x14ac:dyDescent="0.25">
      <c r="B8" s="14" t="s">
        <v>129</v>
      </c>
      <c r="C8">
        <v>34500</v>
      </c>
    </row>
    <row r="9" spans="2:3" x14ac:dyDescent="0.25">
      <c r="B9" s="14" t="s">
        <v>110</v>
      </c>
      <c r="C9">
        <v>33000</v>
      </c>
    </row>
    <row r="10" spans="2:3" x14ac:dyDescent="0.25">
      <c r="B10" s="14" t="s">
        <v>101</v>
      </c>
      <c r="C10">
        <v>30000</v>
      </c>
    </row>
    <row r="11" spans="2:3" x14ac:dyDescent="0.25">
      <c r="B11" s="14" t="s">
        <v>133</v>
      </c>
      <c r="C11">
        <v>27000</v>
      </c>
    </row>
    <row r="12" spans="2:3" x14ac:dyDescent="0.25">
      <c r="B12" s="14" t="s">
        <v>250</v>
      </c>
      <c r="C12">
        <v>334500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B2FD-2633-43F0-89E7-362C3DB4C85B}">
  <dimension ref="B2:F9"/>
  <sheetViews>
    <sheetView workbookViewId="0">
      <selection activeCell="E6" sqref="E6"/>
    </sheetView>
  </sheetViews>
  <sheetFormatPr defaultRowHeight="15" x14ac:dyDescent="0.25"/>
  <cols>
    <col min="1" max="1" width="8.85546875" customWidth="1"/>
    <col min="2" max="3" width="18.85546875" bestFit="1" customWidth="1"/>
    <col min="5" max="5" width="17.85546875" bestFit="1" customWidth="1"/>
    <col min="6" max="6" width="15.140625" bestFit="1" customWidth="1"/>
  </cols>
  <sheetData>
    <row r="2" spans="2:6" x14ac:dyDescent="0.25">
      <c r="B2" s="15" t="s">
        <v>249</v>
      </c>
      <c r="C2" s="18" t="s">
        <v>263</v>
      </c>
      <c r="E2" s="15" t="s">
        <v>249</v>
      </c>
      <c r="F2" s="18" t="s">
        <v>266</v>
      </c>
    </row>
    <row r="3" spans="2:6" x14ac:dyDescent="0.25">
      <c r="B3" s="14" t="s">
        <v>66</v>
      </c>
      <c r="C3" s="19">
        <v>120000</v>
      </c>
      <c r="E3" s="14" t="s">
        <v>66</v>
      </c>
      <c r="F3" s="19">
        <v>10</v>
      </c>
    </row>
    <row r="4" spans="2:6" x14ac:dyDescent="0.25">
      <c r="B4" s="14" t="s">
        <v>67</v>
      </c>
      <c r="C4" s="19">
        <v>60000</v>
      </c>
      <c r="E4" s="14" t="s">
        <v>68</v>
      </c>
      <c r="F4" s="19">
        <v>9</v>
      </c>
    </row>
    <row r="5" spans="2:6" x14ac:dyDescent="0.25">
      <c r="B5" s="14" t="s">
        <v>68</v>
      </c>
      <c r="C5" s="19">
        <v>54000</v>
      </c>
      <c r="E5" s="14" t="s">
        <v>67</v>
      </c>
      <c r="F5" s="19">
        <v>5</v>
      </c>
    </row>
    <row r="6" spans="2:6" x14ac:dyDescent="0.25">
      <c r="B6" s="14" t="s">
        <v>215</v>
      </c>
      <c r="C6" s="19">
        <v>37500</v>
      </c>
      <c r="E6" s="14" t="s">
        <v>215</v>
      </c>
      <c r="F6" s="19">
        <v>5</v>
      </c>
    </row>
    <row r="7" spans="2:6" x14ac:dyDescent="0.25">
      <c r="B7" s="14" t="s">
        <v>217</v>
      </c>
      <c r="C7" s="19">
        <v>36000</v>
      </c>
      <c r="E7" s="14" t="s">
        <v>217</v>
      </c>
      <c r="F7" s="19">
        <v>4</v>
      </c>
    </row>
    <row r="8" spans="2:6" x14ac:dyDescent="0.25">
      <c r="B8" s="14" t="s">
        <v>216</v>
      </c>
      <c r="C8" s="19">
        <v>27000</v>
      </c>
      <c r="E8" s="14" t="s">
        <v>216</v>
      </c>
      <c r="F8" s="19">
        <v>3</v>
      </c>
    </row>
    <row r="9" spans="2:6" x14ac:dyDescent="0.25">
      <c r="B9" s="17" t="s">
        <v>250</v>
      </c>
      <c r="C9" s="18">
        <v>334500</v>
      </c>
      <c r="E9" s="17" t="s">
        <v>267</v>
      </c>
      <c r="F9" s="18">
        <v>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9680-C41F-4318-8174-7AD3E83BF2B3}">
  <dimension ref="B2:C11"/>
  <sheetViews>
    <sheetView workbookViewId="0">
      <selection activeCell="F7" sqref="F7"/>
    </sheetView>
  </sheetViews>
  <sheetFormatPr defaultRowHeight="15" x14ac:dyDescent="0.25"/>
  <cols>
    <col min="1" max="1" width="6.85546875" customWidth="1"/>
    <col min="2" max="2" width="16" bestFit="1" customWidth="1"/>
    <col min="3" max="3" width="15.85546875" bestFit="1" customWidth="1"/>
  </cols>
  <sheetData>
    <row r="2" spans="2:3" x14ac:dyDescent="0.25">
      <c r="B2" s="13" t="s">
        <v>249</v>
      </c>
      <c r="C2" t="s">
        <v>271</v>
      </c>
    </row>
    <row r="3" spans="2:3" x14ac:dyDescent="0.25">
      <c r="B3" s="28" t="s">
        <v>272</v>
      </c>
      <c r="C3">
        <v>7</v>
      </c>
    </row>
    <row r="4" spans="2:3" x14ac:dyDescent="0.25">
      <c r="B4" s="28" t="s">
        <v>273</v>
      </c>
      <c r="C4">
        <v>4</v>
      </c>
    </row>
    <row r="5" spans="2:3" x14ac:dyDescent="0.25">
      <c r="B5" s="28" t="s">
        <v>274</v>
      </c>
      <c r="C5">
        <v>5</v>
      </c>
    </row>
    <row r="6" spans="2:3" x14ac:dyDescent="0.25">
      <c r="B6" s="28" t="s">
        <v>275</v>
      </c>
      <c r="C6">
        <v>3</v>
      </c>
    </row>
    <row r="7" spans="2:3" x14ac:dyDescent="0.25">
      <c r="B7" s="28" t="s">
        <v>276</v>
      </c>
      <c r="C7">
        <v>3</v>
      </c>
    </row>
    <row r="8" spans="2:3" x14ac:dyDescent="0.25">
      <c r="B8" s="28" t="s">
        <v>277</v>
      </c>
      <c r="C8">
        <v>5</v>
      </c>
    </row>
    <row r="9" spans="2:3" x14ac:dyDescent="0.25">
      <c r="B9" s="28" t="s">
        <v>278</v>
      </c>
      <c r="C9">
        <v>5</v>
      </c>
    </row>
    <row r="10" spans="2:3" x14ac:dyDescent="0.25">
      <c r="B10" s="28" t="s">
        <v>279</v>
      </c>
      <c r="C10">
        <v>4</v>
      </c>
    </row>
    <row r="11" spans="2:3" x14ac:dyDescent="0.25">
      <c r="B11" s="28" t="s">
        <v>250</v>
      </c>
      <c r="C11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Props1.xml><?xml version="1.0" encoding="utf-8"?>
<ds:datastoreItem xmlns:ds="http://schemas.openxmlformats.org/officeDocument/2006/customXml" ds:itemID="{6B0BD7B3-B895-4D0F-8D97-CF81B5EA7BE2}">
  <ds:schemaRefs/>
</ds:datastoreItem>
</file>

<file path=customXml/itemProps2.xml><?xml version="1.0" encoding="utf-8"?>
<ds:datastoreItem xmlns:ds="http://schemas.openxmlformats.org/officeDocument/2006/customXml" ds:itemID="{344CB0D5-5BCE-44A7-A5E4-598207B2BC37}">
  <ds:schemaRefs/>
</ds:datastoreItem>
</file>

<file path=customXml/itemProps3.xml><?xml version="1.0" encoding="utf-8"?>
<ds:datastoreItem xmlns:ds="http://schemas.openxmlformats.org/officeDocument/2006/customXml" ds:itemID="{AD6BDFC5-7030-4A48-BB3B-6C99353A3DCB}">
  <ds:schemaRefs/>
</ds:datastoreItem>
</file>

<file path=customXml/itemProps4.xml><?xml version="1.0" encoding="utf-8"?>
<ds:datastoreItem xmlns:ds="http://schemas.openxmlformats.org/officeDocument/2006/customXml" ds:itemID="{DDA9F727-2ABD-47EE-AE67-D1AC895D790F}">
  <ds:schemaRefs/>
</ds:datastoreItem>
</file>

<file path=customXml/itemProps5.xml><?xml version="1.0" encoding="utf-8"?>
<ds:datastoreItem xmlns:ds="http://schemas.openxmlformats.org/officeDocument/2006/customXml" ds:itemID="{A3C4B433-1FC3-4BAA-BF22-C9F5E9BB26B0}">
  <ds:schemaRefs/>
</ds:datastoreItem>
</file>

<file path=customXml/itemProps6.xml><?xml version="1.0" encoding="utf-8"?>
<ds:datastoreItem xmlns:ds="http://schemas.openxmlformats.org/officeDocument/2006/customXml" ds:itemID="{B14CBF45-D4A9-4446-A027-E8C81F20912D}">
  <ds:schemaRefs/>
</ds:datastoreItem>
</file>

<file path=customXml/itemProps7.xml><?xml version="1.0" encoding="utf-8"?>
<ds:datastoreItem xmlns:ds="http://schemas.openxmlformats.org/officeDocument/2006/customXml" ds:itemID="{B65ED9B9-DB21-4B49-97F9-5F803AEBE5B2}">
  <ds:schemaRefs/>
</ds:datastoreItem>
</file>

<file path=customXml/itemProps8.xml><?xml version="1.0" encoding="utf-8"?>
<ds:datastoreItem xmlns:ds="http://schemas.openxmlformats.org/officeDocument/2006/customXml" ds:itemID="{242F4AB2-6FBC-4DCA-9A6D-35BDA6D777E3}">
  <ds:schemaRefs/>
</ds:datastoreItem>
</file>

<file path=customXml/itemProps9.xml><?xml version="1.0" encoding="utf-8"?>
<ds:datastoreItem xmlns:ds="http://schemas.openxmlformats.org/officeDocument/2006/customXml" ds:itemID="{FC99E647-8DA6-4771-ACCA-6B6281789527}">
  <ds:schemaRefs/>
</ds:datastoreItem>
</file>

<file path=customXml/itemProps10.xml><?xml version="1.0" encoding="utf-8"?>
<ds:datastoreItem xmlns:ds="http://schemas.openxmlformats.org/officeDocument/2006/customXml" ds:itemID="{0B057C23-0440-4ABF-80DA-5E8458193392}">
  <ds:schemaRefs/>
</ds:datastoreItem>
</file>

<file path=customXml/itemProps11.xml><?xml version="1.0" encoding="utf-8"?>
<ds:datastoreItem xmlns:ds="http://schemas.openxmlformats.org/officeDocument/2006/customXml" ds:itemID="{6E59EF25-A63B-4473-B144-39721A7C4886}">
  <ds:schemaRefs/>
</ds:datastoreItem>
</file>

<file path=customXml/itemProps12.xml><?xml version="1.0" encoding="utf-8"?>
<ds:datastoreItem xmlns:ds="http://schemas.openxmlformats.org/officeDocument/2006/customXml" ds:itemID="{C77A387D-781E-48EA-8CB4-9C0BA46316B1}">
  <ds:schemaRefs/>
</ds:datastoreItem>
</file>

<file path=customXml/itemProps13.xml><?xml version="1.0" encoding="utf-8"?>
<ds:datastoreItem xmlns:ds="http://schemas.openxmlformats.org/officeDocument/2006/customXml" ds:itemID="{66C21623-E70B-4FC9-8B87-8533CFC1B289}">
  <ds:schemaRefs/>
</ds:datastoreItem>
</file>

<file path=customXml/itemProps14.xml><?xml version="1.0" encoding="utf-8"?>
<ds:datastoreItem xmlns:ds="http://schemas.openxmlformats.org/officeDocument/2006/customXml" ds:itemID="{468D033A-BEF5-4E3D-8B87-8D7D5B85235B}">
  <ds:schemaRefs/>
</ds:datastoreItem>
</file>

<file path=customXml/itemProps15.xml><?xml version="1.0" encoding="utf-8"?>
<ds:datastoreItem xmlns:ds="http://schemas.openxmlformats.org/officeDocument/2006/customXml" ds:itemID="{05A91555-E6F5-458E-804C-3B9BA650202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TASKS</vt:lpstr>
      <vt:lpstr>Students</vt:lpstr>
      <vt:lpstr>Teachers</vt:lpstr>
      <vt:lpstr>Courses</vt:lpstr>
      <vt:lpstr>Batches</vt:lpstr>
      <vt:lpstr>Enrollments</vt:lpstr>
      <vt:lpstr>Payments</vt:lpstr>
      <vt:lpstr>Sessions</vt:lpstr>
      <vt:lpstr>Attendance</vt:lpstr>
      <vt:lpstr>Student_Pivot</vt:lpstr>
      <vt:lpstr>Payments_Pivot</vt:lpstr>
      <vt:lpstr>Teacher_Pay_Pivot</vt:lpstr>
      <vt:lpstr>Payment_by_Region_Pivot</vt:lpstr>
      <vt:lpstr>Courses_Pivot</vt:lpstr>
      <vt:lpstr>Enrollment_Pivot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Evans</cp:lastModifiedBy>
  <dcterms:created xsi:type="dcterms:W3CDTF">2025-09-20T09:03:30Z</dcterms:created>
  <dcterms:modified xsi:type="dcterms:W3CDTF">2026-03-09T20:17:51Z</dcterms:modified>
</cp:coreProperties>
</file>