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EVANS(KnypersleyFir\Documents\Data Practise\"/>
    </mc:Choice>
  </mc:AlternateContent>
  <xr:revisionPtr revIDLastSave="0" documentId="13_ncr:1_{E8641186-75B9-4E45-ACD8-03F9BFB071A3}" xr6:coauthVersionLast="47" xr6:coauthVersionMax="47" xr10:uidLastSave="{00000000-0000-0000-0000-000000000000}"/>
  <bookViews>
    <workbookView xWindow="-110" yWindow="-110" windowWidth="19420" windowHeight="10300" firstSheet="16" activeTab="19" xr2:uid="{00000000-000D-0000-FFFF-FFFF00000000}"/>
  </bookViews>
  <sheets>
    <sheet name="Q01_SUM" sheetId="1" r:id="rId1"/>
    <sheet name="Q02_AVERAGE" sheetId="2" r:id="rId2"/>
    <sheet name="Q03_COUNTA" sheetId="3" r:id="rId3"/>
    <sheet name="Q04_COUNTIF" sheetId="4" r:id="rId4"/>
    <sheet name="Q05_SUMIF" sheetId="5" r:id="rId5"/>
    <sheet name="Q06_SUMPRODUCT" sheetId="6" r:id="rId6"/>
    <sheet name="Q07_MAX_MIN" sheetId="7" r:id="rId7"/>
    <sheet name="Q08_LARGE" sheetId="8" r:id="rId8"/>
    <sheet name="Q09_IF" sheetId="9" r:id="rId9"/>
    <sheet name="Q10_VLOOKUP" sheetId="10" r:id="rId10"/>
    <sheet name="Q11_INDEX_MATCH" sheetId="11" r:id="rId11"/>
    <sheet name="Q12_MONTHNAME" sheetId="12" r:id="rId12"/>
    <sheet name="Q13_DATE_ADD" sheetId="13" r:id="rId13"/>
    <sheet name="Q14_LEFT_FIND" sheetId="14" r:id="rId14"/>
    <sheet name="Q15_MID_YEAR" sheetId="15" r:id="rId15"/>
    <sheet name="Q16_CONCAT" sheetId="16" r:id="rId16"/>
    <sheet name="Q17_TRIM_PROPER" sheetId="17" r:id="rId17"/>
    <sheet name="Q18_UNIQUECOUNT" sheetId="18" r:id="rId18"/>
    <sheet name="Q19_SUMPRODUCT2" sheetId="19" r:id="rId19"/>
    <sheet name="Q20_SUBTOTAL" sheetId="20" r:id="rId20"/>
  </sheets>
  <definedNames>
    <definedName name="_xlnm._FilterDatabase" localSheetId="19" hidden="1">Q20_SUBTOTAL!$B$4:$B$8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19" l="1" a="1"/>
  <c r="B17" i="19" s="1"/>
  <c r="B13" i="20"/>
  <c r="B18" i="19" a="1"/>
  <c r="B18" i="19" s="1"/>
  <c r="B17" i="6" a="1"/>
  <c r="B17" i="6" s="1"/>
  <c r="B19" i="18"/>
  <c r="B20" i="18" a="1"/>
  <c r="B20" i="18" s="1"/>
  <c r="B6" i="17"/>
  <c r="B7" i="17"/>
  <c r="B8" i="17"/>
  <c r="B5" i="17"/>
  <c r="D6" i="16"/>
  <c r="D7" i="16"/>
  <c r="D8" i="16"/>
  <c r="D5" i="16"/>
  <c r="B6" i="15"/>
  <c r="B7" i="15"/>
  <c r="B8" i="15"/>
  <c r="B5" i="15"/>
  <c r="B8" i="14"/>
  <c r="B7" i="14"/>
  <c r="B6" i="14"/>
  <c r="B5" i="14"/>
  <c r="B12" i="13"/>
  <c r="B12" i="12"/>
  <c r="F5" i="11"/>
  <c r="F5" i="10"/>
  <c r="C10" i="9"/>
  <c r="C9" i="9"/>
  <c r="C8" i="9"/>
  <c r="C7" i="9"/>
  <c r="C6" i="9"/>
  <c r="C5" i="9"/>
  <c r="B14" i="8"/>
  <c r="B13" i="8"/>
  <c r="B14" i="7"/>
  <c r="B13" i="7"/>
  <c r="B18" i="6" a="1"/>
  <c r="B18" i="6" s="1"/>
  <c r="B17" i="5"/>
  <c r="B19" i="4"/>
  <c r="B19" i="3"/>
  <c r="B14" i="2"/>
  <c r="B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<sst xmlns="http://schemas.openxmlformats.org/spreadsheetml/2006/main" count="402" uniqueCount="174">
  <si>
    <t>Question</t>
  </si>
  <si>
    <t>Total sales amount for all rows.</t>
  </si>
  <si>
    <t>Dataset</t>
  </si>
  <si>
    <t>Table: Sales (A4:C7) — Date, Product, Amount</t>
  </si>
  <si>
    <t>Date</t>
  </si>
  <si>
    <t>Product</t>
  </si>
  <si>
    <t>Amount</t>
  </si>
  <si>
    <t>Pen</t>
  </si>
  <si>
    <t>Book</t>
  </si>
  <si>
    <t>Bag</t>
  </si>
  <si>
    <t>Pencil</t>
  </si>
  <si>
    <t>Task</t>
  </si>
  <si>
    <t>Calculate total of Amount.</t>
  </si>
  <si>
    <t>Expected Answer (example)</t>
  </si>
  <si>
    <t>1070</t>
  </si>
  <si>
    <t>Find average score of all employees.</t>
  </si>
  <si>
    <t>Table: Scores (A4:B9) — EmpID, Score</t>
  </si>
  <si>
    <t>EmpID</t>
  </si>
  <si>
    <t>Score</t>
  </si>
  <si>
    <t>Average of Score.</t>
  </si>
  <si>
    <t>84.80</t>
  </si>
  <si>
    <t>How many employees are listed (EmpID not blank)?</t>
  </si>
  <si>
    <t>Table: Employees (A4:C14) — EmpID, Name, Dept</t>
  </si>
  <si>
    <t>Name</t>
  </si>
  <si>
    <t>Dept</t>
  </si>
  <si>
    <t>Aisha</t>
  </si>
  <si>
    <t>Sales</t>
  </si>
  <si>
    <t>Ben</t>
  </si>
  <si>
    <t>HR</t>
  </si>
  <si>
    <t>Cory</t>
  </si>
  <si>
    <t>Tech</t>
  </si>
  <si>
    <t>Dia</t>
  </si>
  <si>
    <t>Eva</t>
  </si>
  <si>
    <t>Faraz</t>
  </si>
  <si>
    <t>Gita</t>
  </si>
  <si>
    <t>Admin</t>
  </si>
  <si>
    <t>Hari</t>
  </si>
  <si>
    <t>Ira</t>
  </si>
  <si>
    <t>Jay</t>
  </si>
  <si>
    <t>Count non-blank EmpID.</t>
  </si>
  <si>
    <t>10</t>
  </si>
  <si>
    <t>How many employees work in 'Sales'?</t>
  </si>
  <si>
    <t>Count Dept='Sales'.</t>
  </si>
  <si>
    <t>3</t>
  </si>
  <si>
    <t>Total Qty for Region = 'East'.</t>
  </si>
  <si>
    <t>Table: Orders (A4:D12) — OrderID, Region, Qty, Price</t>
  </si>
  <si>
    <t>OrderID</t>
  </si>
  <si>
    <t>Region</t>
  </si>
  <si>
    <t>Qty</t>
  </si>
  <si>
    <t>Price</t>
  </si>
  <si>
    <t>East</t>
  </si>
  <si>
    <t>West</t>
  </si>
  <si>
    <t>South</t>
  </si>
  <si>
    <t>Sum Qty where Region='East'.</t>
  </si>
  <si>
    <t>17</t>
  </si>
  <si>
    <t>Total revenue (Qty*Price) for Region='West'.</t>
  </si>
  <si>
    <t>Sum Qty*Price where Region='West'.</t>
  </si>
  <si>
    <t>2310</t>
  </si>
  <si>
    <t>Find the highest and lowest sale Amount.</t>
  </si>
  <si>
    <t>Max and Min of Amount.</t>
  </si>
  <si>
    <t>Max=520, Min=120</t>
  </si>
  <si>
    <t>Find the 2nd highest sale Amount.</t>
  </si>
  <si>
    <t>Second largest Amount.</t>
  </si>
  <si>
    <t>250</t>
  </si>
  <si>
    <t>Show 'Pass' if Score&gt;=60 else 'Fail' for each row.</t>
  </si>
  <si>
    <t>Table: Scores (A4:B10) — Name, Score</t>
  </si>
  <si>
    <t>Riya</t>
  </si>
  <si>
    <t>Tom</t>
  </si>
  <si>
    <t>Neha</t>
  </si>
  <si>
    <t>Omar</t>
  </si>
  <si>
    <t>Lia</t>
  </si>
  <si>
    <t>Sam</t>
  </si>
  <si>
    <t>Create Pass/Fail in C5 with formula then fill down.</t>
  </si>
  <si>
    <t>Fail, Pass, Fail, Pass, Pass, Pass</t>
  </si>
  <si>
    <t>Type an item in cell E5 and return its Price.</t>
  </si>
  <si>
    <t>Table: Products (A4:C14) — Item, Category, Price</t>
  </si>
  <si>
    <t>Item</t>
  </si>
  <si>
    <t>Category</t>
  </si>
  <si>
    <t>Stationery</t>
  </si>
  <si>
    <t>Bags</t>
  </si>
  <si>
    <t>Notebook</t>
  </si>
  <si>
    <t>Eraser</t>
  </si>
  <si>
    <t>Marker</t>
  </si>
  <si>
    <t>File</t>
  </si>
  <si>
    <t>Office</t>
  </si>
  <si>
    <t>Stapler</t>
  </si>
  <si>
    <t>Ruler</t>
  </si>
  <si>
    <t>Lookup price for item typed in E5.</t>
  </si>
  <si>
    <t>Depends on the item typed (e.g., Bag → 450)</t>
  </si>
  <si>
    <t>Type an item in E5 and return its Category using INDEX/MATCH.</t>
  </si>
  <si>
    <t>Return Category for item in E5.</t>
  </si>
  <si>
    <t>Depends on the item typed (e.g., Book → Stationery)</t>
  </si>
  <si>
    <t>Return the month name for the date in A5.</t>
  </si>
  <si>
    <t>Table: Sales (A4:B7) — Date, Amount</t>
  </si>
  <si>
    <t>Month name of A5.</t>
  </si>
  <si>
    <t>March</t>
  </si>
  <si>
    <t>Add 30 days to the date in A5.</t>
  </si>
  <si>
    <t>A5 + 30 days (format as Date).</t>
  </si>
  <si>
    <t>2025-04-14</t>
  </si>
  <si>
    <t>Extract the country code (chars before first dash) from A5.</t>
  </si>
  <si>
    <t>Table: Codes (A4:A7) — values like 'UK-2025-INV-009'</t>
  </si>
  <si>
    <t>Code</t>
  </si>
  <si>
    <t>UK-2025-INV-009</t>
  </si>
  <si>
    <t>IN-2024-PO-112</t>
  </si>
  <si>
    <t>US-2023-RET-555</t>
  </si>
  <si>
    <t>AE-2025-EST-777</t>
  </si>
  <si>
    <t>Country code from A5.</t>
  </si>
  <si>
    <t>UK</t>
  </si>
  <si>
    <t>Extract the 4‑digit year from A5.</t>
  </si>
  <si>
    <t>Year from A5 (4 digits).</t>
  </si>
  <si>
    <t>2025</t>
  </si>
  <si>
    <t>Create 'First Last – City' in D5 and fill down.</t>
  </si>
  <si>
    <t>Table: People (A4:C8) — First, Last, City</t>
  </si>
  <si>
    <t>First</t>
  </si>
  <si>
    <t>Last</t>
  </si>
  <si>
    <t>City</t>
  </si>
  <si>
    <t>Khan</t>
  </si>
  <si>
    <t>London</t>
  </si>
  <si>
    <t>Ravi</t>
  </si>
  <si>
    <t>Verma</t>
  </si>
  <si>
    <t>Delhi</t>
  </si>
  <si>
    <t>Mira</t>
  </si>
  <si>
    <t>Patel</t>
  </si>
  <si>
    <t>Ahmedabad</t>
  </si>
  <si>
    <t>John</t>
  </si>
  <si>
    <t>Wong</t>
  </si>
  <si>
    <t>Singapore</t>
  </si>
  <si>
    <t>Join fields with space and en-dash.</t>
  </si>
  <si>
    <t>Aisha Khan – London (in D5)</t>
  </si>
  <si>
    <t>Clean spaces and proper‑case the first name in A5.</t>
  </si>
  <si>
    <t>Table: People (A4:A8) — RawFirst</t>
  </si>
  <si>
    <t>RawFirst</t>
  </si>
  <si>
    <t xml:space="preserve">   rISHAbH  </t>
  </si>
  <si>
    <t xml:space="preserve"> aNKiTA</t>
  </si>
  <si>
    <t xml:space="preserve">  SHUBHANSHU  </t>
  </si>
  <si>
    <t xml:space="preserve">soHIt </t>
  </si>
  <si>
    <t>Normalize to proper case, no leading/trailing spaces.</t>
  </si>
  <si>
    <t>Rishabh (in B5 after applying)</t>
  </si>
  <si>
    <t>How many unique departments are there? (formula method)</t>
  </si>
  <si>
    <t>Table: Departments (A4:A13) — Dept</t>
  </si>
  <si>
    <t>Unique count of Dept (confirm as array in legacy Excel).</t>
  </si>
  <si>
    <t>4</t>
  </si>
  <si>
    <t>Total revenue for Region='East' AND Qty&gt;=5.</t>
  </si>
  <si>
    <t>Sum Qty*Price for rows meeting both criteria.</t>
  </si>
  <si>
    <t>1140</t>
  </si>
  <si>
    <t>Apply a filter on Product and sum visible 'Amount' only.</t>
  </si>
  <si>
    <t>Sum visible Amount after filtering.</t>
  </si>
  <si>
    <t>Depends on filter selection</t>
  </si>
  <si>
    <t>Average Score =</t>
  </si>
  <si>
    <t>Total Amount =</t>
  </si>
  <si>
    <t>Non-blank count =</t>
  </si>
  <si>
    <t xml:space="preserve">Count Sales Workers = </t>
  </si>
  <si>
    <t>East Sum =</t>
  </si>
  <si>
    <t>Sum Product West =</t>
  </si>
  <si>
    <t>Alternative Formula =</t>
  </si>
  <si>
    <t>Min =</t>
  </si>
  <si>
    <t>Max =</t>
  </si>
  <si>
    <t>2nd Largest</t>
  </si>
  <si>
    <t>3rd Largest</t>
  </si>
  <si>
    <t>Pass/Fail</t>
  </si>
  <si>
    <t>Search</t>
  </si>
  <si>
    <t>Month name =</t>
  </si>
  <si>
    <t>New Date =</t>
  </si>
  <si>
    <t>days</t>
  </si>
  <si>
    <t>Country Codes</t>
  </si>
  <si>
    <t>Extracted Year</t>
  </si>
  <si>
    <t>CONCAT</t>
  </si>
  <si>
    <t>Cleaned Data</t>
  </si>
  <si>
    <t>Unique Deparments =</t>
  </si>
  <si>
    <t>List of Unique Departments =</t>
  </si>
  <si>
    <t xml:space="preserve">Sum that meets criteria = </t>
  </si>
  <si>
    <t>Alternative Formula=</t>
  </si>
  <si>
    <t>Total after filter =</t>
  </si>
  <si>
    <t xml:space="preserve">Change date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</si>
</sst>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4" borderId="14" xfId="0" applyFill="1" applyBorder="1"/>
    <xf numFmtId="0" fontId="0" fillId="0" borderId="13" xfId="0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0" fillId="0" borderId="15" xfId="0" applyBorder="1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4" borderId="1" xfId="0" applyFill="1" applyBorder="1"/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0" fillId="0" borderId="16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4" borderId="20" xfId="0" applyFill="1" applyBorder="1"/>
    <xf numFmtId="0" fontId="0" fillId="4" borderId="1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7" xfId="0" applyFill="1" applyBorder="1"/>
    <xf numFmtId="0" fontId="0" fillId="4" borderId="13" xfId="0" applyFill="1" applyBorder="1"/>
    <xf numFmtId="164" fontId="0" fillId="0" borderId="16" xfId="0" applyNumberFormat="1" applyBorder="1"/>
    <xf numFmtId="164" fontId="0" fillId="0" borderId="15" xfId="0" applyNumberFormat="1" applyBorder="1"/>
    <xf numFmtId="0" fontId="0" fillId="5" borderId="1" xfId="0" applyFill="1" applyBorder="1"/>
    <xf numFmtId="0" fontId="0" fillId="3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13" sqref="B13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3" x14ac:dyDescent="0.35">
      <c r="A1" s="1" t="s">
        <v>0</v>
      </c>
      <c r="B1" t="s">
        <v>1</v>
      </c>
    </row>
    <row r="2" spans="1:3" x14ac:dyDescent="0.35">
      <c r="A2" s="1" t="s">
        <v>2</v>
      </c>
      <c r="B2" t="s">
        <v>3</v>
      </c>
    </row>
    <row r="3" spans="1:3" ht="15" thickBot="1" x14ac:dyDescent="0.4"/>
    <row r="4" spans="1:3" ht="15" thickBot="1" x14ac:dyDescent="0.4">
      <c r="A4" s="24" t="s">
        <v>4</v>
      </c>
      <c r="B4" s="16" t="s">
        <v>5</v>
      </c>
      <c r="C4" s="25" t="s">
        <v>6</v>
      </c>
    </row>
    <row r="5" spans="1:3" x14ac:dyDescent="0.35">
      <c r="A5" s="52">
        <v>45658</v>
      </c>
      <c r="B5" s="45" t="s">
        <v>7</v>
      </c>
      <c r="C5" s="40">
        <v>120</v>
      </c>
    </row>
    <row r="6" spans="1:3" x14ac:dyDescent="0.35">
      <c r="A6" s="52">
        <v>45659</v>
      </c>
      <c r="B6" s="45" t="s">
        <v>8</v>
      </c>
      <c r="C6" s="40">
        <v>250</v>
      </c>
    </row>
    <row r="7" spans="1:3" x14ac:dyDescent="0.35">
      <c r="A7" s="52">
        <v>45660</v>
      </c>
      <c r="B7" s="45" t="s">
        <v>9</v>
      </c>
      <c r="C7" s="40">
        <v>520</v>
      </c>
    </row>
    <row r="8" spans="1:3" ht="15" thickBot="1" x14ac:dyDescent="0.4">
      <c r="A8" s="53">
        <v>45661</v>
      </c>
      <c r="B8" s="18" t="s">
        <v>10</v>
      </c>
      <c r="C8" s="17">
        <v>180</v>
      </c>
    </row>
    <row r="10" spans="1:3" x14ac:dyDescent="0.35">
      <c r="A10" s="1" t="s">
        <v>11</v>
      </c>
      <c r="B10" t="s">
        <v>12</v>
      </c>
    </row>
    <row r="11" spans="1:3" x14ac:dyDescent="0.35">
      <c r="A11" s="1" t="s">
        <v>13</v>
      </c>
      <c r="B11" t="s">
        <v>14</v>
      </c>
    </row>
    <row r="13" spans="1:3" x14ac:dyDescent="0.35">
      <c r="A13" s="3" t="s">
        <v>149</v>
      </c>
      <c r="B13" s="4">
        <f>SUM(C5:C8)</f>
        <v>1070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5" sqref="B5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2" x14ac:dyDescent="0.35">
      <c r="A1" s="1" t="s">
        <v>0</v>
      </c>
      <c r="B1" t="s">
        <v>15</v>
      </c>
    </row>
    <row r="2" spans="1:2" x14ac:dyDescent="0.35">
      <c r="A2" s="1" t="s">
        <v>2</v>
      </c>
      <c r="B2" t="s">
        <v>16</v>
      </c>
    </row>
    <row r="3" spans="1:2" ht="15" thickBot="1" x14ac:dyDescent="0.4"/>
    <row r="4" spans="1:2" ht="15" thickBot="1" x14ac:dyDescent="0.4">
      <c r="A4" s="24" t="s">
        <v>17</v>
      </c>
      <c r="B4" s="16" t="s">
        <v>18</v>
      </c>
    </row>
    <row r="5" spans="1:2" x14ac:dyDescent="0.35">
      <c r="A5" s="37">
        <v>101</v>
      </c>
      <c r="B5" s="45">
        <v>78</v>
      </c>
    </row>
    <row r="6" spans="1:2" x14ac:dyDescent="0.35">
      <c r="A6" s="37">
        <v>102</v>
      </c>
      <c r="B6" s="45">
        <v>82</v>
      </c>
    </row>
    <row r="7" spans="1:2" x14ac:dyDescent="0.35">
      <c r="A7" s="37">
        <v>103</v>
      </c>
      <c r="B7" s="45">
        <v>91</v>
      </c>
    </row>
    <row r="8" spans="1:2" x14ac:dyDescent="0.35">
      <c r="A8" s="37">
        <v>104</v>
      </c>
      <c r="B8" s="45">
        <v>85</v>
      </c>
    </row>
    <row r="9" spans="1:2" ht="15" thickBot="1" x14ac:dyDescent="0.4">
      <c r="A9" s="23">
        <v>105</v>
      </c>
      <c r="B9" s="18">
        <v>88</v>
      </c>
    </row>
    <row r="11" spans="1:2" x14ac:dyDescent="0.35">
      <c r="A11" s="1" t="s">
        <v>11</v>
      </c>
      <c r="B11" t="s">
        <v>19</v>
      </c>
    </row>
    <row r="12" spans="1:2" x14ac:dyDescent="0.35">
      <c r="A12" s="1" t="s">
        <v>13</v>
      </c>
      <c r="B12" t="s">
        <v>20</v>
      </c>
    </row>
    <row r="14" spans="1:2" x14ac:dyDescent="0.35">
      <c r="A14" s="3" t="s">
        <v>148</v>
      </c>
      <c r="B14" s="4">
        <f>AVERAGE(B5:B9)</f>
        <v>84.8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selection activeCell="B4" sqref="B4:B5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3" x14ac:dyDescent="0.35">
      <c r="A1" s="1" t="s">
        <v>0</v>
      </c>
      <c r="B1" t="s">
        <v>21</v>
      </c>
    </row>
    <row r="2" spans="1:3" x14ac:dyDescent="0.35">
      <c r="A2" s="1" t="s">
        <v>2</v>
      </c>
      <c r="B2" t="s">
        <v>22</v>
      </c>
    </row>
    <row r="3" spans="1:3" ht="15" thickBot="1" x14ac:dyDescent="0.4"/>
    <row r="4" spans="1:3" ht="15" thickBot="1" x14ac:dyDescent="0.4">
      <c r="A4" s="24" t="s">
        <v>17</v>
      </c>
      <c r="B4" s="16" t="s">
        <v>23</v>
      </c>
      <c r="C4" s="25" t="s">
        <v>24</v>
      </c>
    </row>
    <row r="5" spans="1:3" x14ac:dyDescent="0.35">
      <c r="A5" s="37">
        <v>1</v>
      </c>
      <c r="B5" s="45" t="s">
        <v>25</v>
      </c>
      <c r="C5" s="40" t="s">
        <v>26</v>
      </c>
    </row>
    <row r="6" spans="1:3" x14ac:dyDescent="0.35">
      <c r="A6" s="37">
        <v>2</v>
      </c>
      <c r="B6" s="45" t="s">
        <v>27</v>
      </c>
      <c r="C6" s="40" t="s">
        <v>28</v>
      </c>
    </row>
    <row r="7" spans="1:3" x14ac:dyDescent="0.35">
      <c r="A7" s="37">
        <v>3</v>
      </c>
      <c r="B7" s="45" t="s">
        <v>29</v>
      </c>
      <c r="C7" s="40" t="s">
        <v>30</v>
      </c>
    </row>
    <row r="8" spans="1:3" x14ac:dyDescent="0.35">
      <c r="A8" s="37">
        <v>4</v>
      </c>
      <c r="B8" s="45" t="s">
        <v>31</v>
      </c>
      <c r="C8" s="40" t="s">
        <v>30</v>
      </c>
    </row>
    <row r="9" spans="1:3" x14ac:dyDescent="0.35">
      <c r="A9" s="37">
        <v>5</v>
      </c>
      <c r="B9" s="45" t="s">
        <v>32</v>
      </c>
      <c r="C9" s="40" t="s">
        <v>28</v>
      </c>
    </row>
    <row r="10" spans="1:3" x14ac:dyDescent="0.35">
      <c r="A10" s="37">
        <v>6</v>
      </c>
      <c r="B10" s="45" t="s">
        <v>33</v>
      </c>
      <c r="C10" s="40" t="s">
        <v>26</v>
      </c>
    </row>
    <row r="11" spans="1:3" x14ac:dyDescent="0.35">
      <c r="A11" s="37">
        <v>7</v>
      </c>
      <c r="B11" s="45" t="s">
        <v>34</v>
      </c>
      <c r="C11" s="40" t="s">
        <v>35</v>
      </c>
    </row>
    <row r="12" spans="1:3" x14ac:dyDescent="0.35">
      <c r="A12" s="37">
        <v>8</v>
      </c>
      <c r="B12" s="45" t="s">
        <v>36</v>
      </c>
      <c r="C12" s="40" t="s">
        <v>30</v>
      </c>
    </row>
    <row r="13" spans="1:3" x14ac:dyDescent="0.35">
      <c r="A13" s="37">
        <v>9</v>
      </c>
      <c r="B13" s="45" t="s">
        <v>37</v>
      </c>
      <c r="C13" s="40" t="s">
        <v>26</v>
      </c>
    </row>
    <row r="14" spans="1:3" ht="15" thickBot="1" x14ac:dyDescent="0.4">
      <c r="A14" s="23">
        <v>10</v>
      </c>
      <c r="B14" s="18" t="s">
        <v>38</v>
      </c>
      <c r="C14" s="17" t="s">
        <v>28</v>
      </c>
    </row>
    <row r="16" spans="1:3" x14ac:dyDescent="0.35">
      <c r="A16" s="1" t="s">
        <v>11</v>
      </c>
      <c r="B16" t="s">
        <v>39</v>
      </c>
    </row>
    <row r="17" spans="1:2" x14ac:dyDescent="0.35">
      <c r="A17" s="1" t="s">
        <v>13</v>
      </c>
      <c r="B17" t="s">
        <v>40</v>
      </c>
    </row>
    <row r="19" spans="1:2" x14ac:dyDescent="0.35">
      <c r="A19" s="3" t="s">
        <v>150</v>
      </c>
      <c r="B19" s="4">
        <f>COUNTA(A5:A14)</f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>
      <selection activeCell="B4" sqref="B4:B14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3" x14ac:dyDescent="0.35">
      <c r="A1" s="1" t="s">
        <v>0</v>
      </c>
      <c r="B1" t="s">
        <v>41</v>
      </c>
    </row>
    <row r="2" spans="1:3" x14ac:dyDescent="0.35">
      <c r="A2" s="1" t="s">
        <v>2</v>
      </c>
      <c r="B2" t="s">
        <v>22</v>
      </c>
    </row>
    <row r="3" spans="1:3" ht="15" thickBot="1" x14ac:dyDescent="0.4"/>
    <row r="4" spans="1:3" ht="15" thickBot="1" x14ac:dyDescent="0.4">
      <c r="A4" s="24" t="s">
        <v>17</v>
      </c>
      <c r="B4" s="16" t="s">
        <v>23</v>
      </c>
      <c r="C4" s="25" t="s">
        <v>24</v>
      </c>
    </row>
    <row r="5" spans="1:3" x14ac:dyDescent="0.35">
      <c r="A5" s="37">
        <v>1</v>
      </c>
      <c r="B5" s="45" t="s">
        <v>25</v>
      </c>
      <c r="C5" s="40" t="s">
        <v>26</v>
      </c>
    </row>
    <row r="6" spans="1:3" x14ac:dyDescent="0.35">
      <c r="A6" s="37">
        <v>2</v>
      </c>
      <c r="B6" s="45" t="s">
        <v>27</v>
      </c>
      <c r="C6" s="40" t="s">
        <v>28</v>
      </c>
    </row>
    <row r="7" spans="1:3" x14ac:dyDescent="0.35">
      <c r="A7" s="37">
        <v>3</v>
      </c>
      <c r="B7" s="45" t="s">
        <v>29</v>
      </c>
      <c r="C7" s="40" t="s">
        <v>30</v>
      </c>
    </row>
    <row r="8" spans="1:3" x14ac:dyDescent="0.35">
      <c r="A8" s="37">
        <v>4</v>
      </c>
      <c r="B8" s="45" t="s">
        <v>31</v>
      </c>
      <c r="C8" s="40" t="s">
        <v>30</v>
      </c>
    </row>
    <row r="9" spans="1:3" x14ac:dyDescent="0.35">
      <c r="A9" s="37">
        <v>5</v>
      </c>
      <c r="B9" s="45" t="s">
        <v>32</v>
      </c>
      <c r="C9" s="40" t="s">
        <v>28</v>
      </c>
    </row>
    <row r="10" spans="1:3" x14ac:dyDescent="0.35">
      <c r="A10" s="37">
        <v>6</v>
      </c>
      <c r="B10" s="45" t="s">
        <v>33</v>
      </c>
      <c r="C10" s="40" t="s">
        <v>26</v>
      </c>
    </row>
    <row r="11" spans="1:3" x14ac:dyDescent="0.35">
      <c r="A11" s="37">
        <v>7</v>
      </c>
      <c r="B11" s="45" t="s">
        <v>34</v>
      </c>
      <c r="C11" s="40" t="s">
        <v>35</v>
      </c>
    </row>
    <row r="12" spans="1:3" x14ac:dyDescent="0.35">
      <c r="A12" s="37">
        <v>8</v>
      </c>
      <c r="B12" s="45" t="s">
        <v>36</v>
      </c>
      <c r="C12" s="40" t="s">
        <v>30</v>
      </c>
    </row>
    <row r="13" spans="1:3" x14ac:dyDescent="0.35">
      <c r="A13" s="37">
        <v>9</v>
      </c>
      <c r="B13" s="45" t="s">
        <v>37</v>
      </c>
      <c r="C13" s="40" t="s">
        <v>26</v>
      </c>
    </row>
    <row r="14" spans="1:3" ht="15" thickBot="1" x14ac:dyDescent="0.4">
      <c r="A14" s="23">
        <v>10</v>
      </c>
      <c r="B14" s="18" t="s">
        <v>38</v>
      </c>
      <c r="C14" s="17" t="s">
        <v>28</v>
      </c>
    </row>
    <row r="16" spans="1:3" x14ac:dyDescent="0.35">
      <c r="A16" s="1" t="s">
        <v>11</v>
      </c>
      <c r="B16" t="s">
        <v>42</v>
      </c>
    </row>
    <row r="17" spans="1:2" x14ac:dyDescent="0.35">
      <c r="A17" s="1" t="s">
        <v>13</v>
      </c>
      <c r="B17" t="s">
        <v>43</v>
      </c>
    </row>
    <row r="19" spans="1:2" x14ac:dyDescent="0.35">
      <c r="A19" s="3" t="s">
        <v>151</v>
      </c>
      <c r="B19" s="4">
        <f>COUNTIF(C5:C14,"Sales")</f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B6" sqref="B6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4" x14ac:dyDescent="0.35">
      <c r="A1" s="1" t="s">
        <v>0</v>
      </c>
      <c r="B1" t="s">
        <v>44</v>
      </c>
    </row>
    <row r="2" spans="1:4" x14ac:dyDescent="0.35">
      <c r="A2" s="1" t="s">
        <v>2</v>
      </c>
      <c r="B2" t="s">
        <v>45</v>
      </c>
    </row>
    <row r="3" spans="1:4" ht="15" thickBot="1" x14ac:dyDescent="0.4"/>
    <row r="4" spans="1:4" ht="15" thickBot="1" x14ac:dyDescent="0.4">
      <c r="A4" s="24" t="s">
        <v>46</v>
      </c>
      <c r="B4" s="16" t="s">
        <v>47</v>
      </c>
      <c r="C4" s="43" t="s">
        <v>48</v>
      </c>
      <c r="D4" s="16" t="s">
        <v>49</v>
      </c>
    </row>
    <row r="5" spans="1:4" x14ac:dyDescent="0.35">
      <c r="A5" s="37">
        <v>1001</v>
      </c>
      <c r="B5" s="45" t="s">
        <v>50</v>
      </c>
      <c r="C5" s="38">
        <v>5</v>
      </c>
      <c r="D5" s="45">
        <v>100</v>
      </c>
    </row>
    <row r="6" spans="1:4" x14ac:dyDescent="0.35">
      <c r="A6" s="37">
        <v>1002</v>
      </c>
      <c r="B6" s="45" t="s">
        <v>51</v>
      </c>
      <c r="C6" s="38">
        <v>3</v>
      </c>
      <c r="D6" s="45">
        <v>200</v>
      </c>
    </row>
    <row r="7" spans="1:4" x14ac:dyDescent="0.35">
      <c r="A7" s="37">
        <v>1003</v>
      </c>
      <c r="B7" s="45" t="s">
        <v>50</v>
      </c>
      <c r="C7" s="38">
        <v>8</v>
      </c>
      <c r="D7" s="45">
        <v>80</v>
      </c>
    </row>
    <row r="8" spans="1:4" x14ac:dyDescent="0.35">
      <c r="A8" s="37">
        <v>1004</v>
      </c>
      <c r="B8" s="45" t="s">
        <v>52</v>
      </c>
      <c r="C8" s="38">
        <v>10</v>
      </c>
      <c r="D8" s="45">
        <v>60</v>
      </c>
    </row>
    <row r="9" spans="1:4" x14ac:dyDescent="0.35">
      <c r="A9" s="37">
        <v>1005</v>
      </c>
      <c r="B9" s="45" t="s">
        <v>51</v>
      </c>
      <c r="C9" s="38">
        <v>6</v>
      </c>
      <c r="D9" s="45">
        <v>150</v>
      </c>
    </row>
    <row r="10" spans="1:4" x14ac:dyDescent="0.35">
      <c r="A10" s="37">
        <v>1006</v>
      </c>
      <c r="B10" s="45" t="s">
        <v>50</v>
      </c>
      <c r="C10" s="38">
        <v>4</v>
      </c>
      <c r="D10" s="45">
        <v>120</v>
      </c>
    </row>
    <row r="11" spans="1:4" x14ac:dyDescent="0.35">
      <c r="A11" s="37">
        <v>1007</v>
      </c>
      <c r="B11" s="45" t="s">
        <v>51</v>
      </c>
      <c r="C11" s="38">
        <v>9</v>
      </c>
      <c r="D11" s="45">
        <v>90</v>
      </c>
    </row>
    <row r="12" spans="1:4" ht="15" thickBot="1" x14ac:dyDescent="0.4">
      <c r="A12" s="23">
        <v>1008</v>
      </c>
      <c r="B12" s="18" t="s">
        <v>52</v>
      </c>
      <c r="C12" s="41">
        <v>2</v>
      </c>
      <c r="D12" s="18">
        <v>300</v>
      </c>
    </row>
    <row r="14" spans="1:4" x14ac:dyDescent="0.35">
      <c r="A14" s="1" t="s">
        <v>11</v>
      </c>
      <c r="B14" t="s">
        <v>53</v>
      </c>
    </row>
    <row r="15" spans="1:4" x14ac:dyDescent="0.35">
      <c r="A15" s="1" t="s">
        <v>13</v>
      </c>
      <c r="B15" t="s">
        <v>54</v>
      </c>
    </row>
    <row r="17" spans="1:2" x14ac:dyDescent="0.35">
      <c r="A17" s="3" t="s">
        <v>152</v>
      </c>
      <c r="B17" s="4">
        <f>SUMIF(B5:B12,"East",C5:C12)</f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>
      <selection activeCell="B17" sqref="B17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4" x14ac:dyDescent="0.35">
      <c r="A1" s="1" t="s">
        <v>0</v>
      </c>
      <c r="B1" t="s">
        <v>55</v>
      </c>
    </row>
    <row r="2" spans="1:4" x14ac:dyDescent="0.35">
      <c r="A2" s="1" t="s">
        <v>2</v>
      </c>
      <c r="B2" t="s">
        <v>45</v>
      </c>
    </row>
    <row r="3" spans="1:4" ht="15" thickBot="1" x14ac:dyDescent="0.4"/>
    <row r="4" spans="1:4" ht="15" thickBot="1" x14ac:dyDescent="0.4">
      <c r="A4" s="24" t="s">
        <v>46</v>
      </c>
      <c r="B4" s="16" t="s">
        <v>47</v>
      </c>
      <c r="C4" s="43" t="s">
        <v>48</v>
      </c>
      <c r="D4" s="16" t="s">
        <v>49</v>
      </c>
    </row>
    <row r="5" spans="1:4" x14ac:dyDescent="0.35">
      <c r="A5" s="37">
        <v>1001</v>
      </c>
      <c r="B5" s="45" t="s">
        <v>50</v>
      </c>
      <c r="C5" s="38">
        <v>5</v>
      </c>
      <c r="D5" s="45">
        <v>100</v>
      </c>
    </row>
    <row r="6" spans="1:4" x14ac:dyDescent="0.35">
      <c r="A6" s="37">
        <v>1002</v>
      </c>
      <c r="B6" s="45" t="s">
        <v>51</v>
      </c>
      <c r="C6" s="38">
        <v>3</v>
      </c>
      <c r="D6" s="45">
        <v>200</v>
      </c>
    </row>
    <row r="7" spans="1:4" x14ac:dyDescent="0.35">
      <c r="A7" s="37">
        <v>1003</v>
      </c>
      <c r="B7" s="45" t="s">
        <v>50</v>
      </c>
      <c r="C7" s="38">
        <v>8</v>
      </c>
      <c r="D7" s="45">
        <v>80</v>
      </c>
    </row>
    <row r="8" spans="1:4" x14ac:dyDescent="0.35">
      <c r="A8" s="37">
        <v>1004</v>
      </c>
      <c r="B8" s="45" t="s">
        <v>52</v>
      </c>
      <c r="C8" s="38">
        <v>10</v>
      </c>
      <c r="D8" s="45">
        <v>60</v>
      </c>
    </row>
    <row r="9" spans="1:4" x14ac:dyDescent="0.35">
      <c r="A9" s="37">
        <v>1005</v>
      </c>
      <c r="B9" s="45" t="s">
        <v>51</v>
      </c>
      <c r="C9" s="38">
        <v>6</v>
      </c>
      <c r="D9" s="45">
        <v>150</v>
      </c>
    </row>
    <row r="10" spans="1:4" x14ac:dyDescent="0.35">
      <c r="A10" s="37">
        <v>1006</v>
      </c>
      <c r="B10" s="45" t="s">
        <v>50</v>
      </c>
      <c r="C10" s="38">
        <v>4</v>
      </c>
      <c r="D10" s="45">
        <v>120</v>
      </c>
    </row>
    <row r="11" spans="1:4" x14ac:dyDescent="0.35">
      <c r="A11" s="37">
        <v>1007</v>
      </c>
      <c r="B11" s="45" t="s">
        <v>51</v>
      </c>
      <c r="C11" s="38">
        <v>9</v>
      </c>
      <c r="D11" s="45">
        <v>90</v>
      </c>
    </row>
    <row r="12" spans="1:4" ht="15" thickBot="1" x14ac:dyDescent="0.4">
      <c r="A12" s="23">
        <v>1008</v>
      </c>
      <c r="B12" s="18" t="s">
        <v>52</v>
      </c>
      <c r="C12" s="41">
        <v>2</v>
      </c>
      <c r="D12" s="18">
        <v>300</v>
      </c>
    </row>
    <row r="14" spans="1:4" x14ac:dyDescent="0.35">
      <c r="A14" s="1" t="s">
        <v>11</v>
      </c>
      <c r="B14" t="s">
        <v>56</v>
      </c>
    </row>
    <row r="15" spans="1:4" x14ac:dyDescent="0.35">
      <c r="A15" s="1" t="s">
        <v>13</v>
      </c>
      <c r="B15" t="s">
        <v>57</v>
      </c>
    </row>
    <row r="17" spans="1:2" x14ac:dyDescent="0.35">
      <c r="A17" s="3" t="s">
        <v>153</v>
      </c>
      <c r="B17" s="4" cm="1">
        <f t="array" ref="B17">SUMPRODUCT((B5:B12="West")*(C5:C12*D5:D12))</f>
        <v>2310</v>
      </c>
    </row>
    <row r="18" spans="1:2" x14ac:dyDescent="0.35">
      <c r="A18" s="3" t="s">
        <v>154</v>
      </c>
      <c r="B18" s="4" cm="1">
        <f t="array" ref="B18">SUMPRODUCT(--(B5:B12="West"),C5:C12*D5:D12)</f>
        <v>2310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>
      <selection activeCell="B7" sqref="B7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3" x14ac:dyDescent="0.35">
      <c r="A1" s="1" t="s">
        <v>0</v>
      </c>
      <c r="B1" t="s">
        <v>58</v>
      </c>
    </row>
    <row r="2" spans="1:3" x14ac:dyDescent="0.35">
      <c r="A2" s="1" t="s">
        <v>2</v>
      </c>
      <c r="B2" t="s">
        <v>3</v>
      </c>
    </row>
    <row r="3" spans="1:3" ht="15" thickBot="1" x14ac:dyDescent="0.4"/>
    <row r="4" spans="1:3" ht="15" thickBot="1" x14ac:dyDescent="0.4">
      <c r="A4" s="24" t="s">
        <v>4</v>
      </c>
      <c r="B4" s="16" t="s">
        <v>5</v>
      </c>
      <c r="C4" s="25" t="s">
        <v>6</v>
      </c>
    </row>
    <row r="5" spans="1:3" x14ac:dyDescent="0.35">
      <c r="A5" s="52">
        <v>45658</v>
      </c>
      <c r="B5" s="45" t="s">
        <v>7</v>
      </c>
      <c r="C5" s="40">
        <v>120</v>
      </c>
    </row>
    <row r="6" spans="1:3" x14ac:dyDescent="0.35">
      <c r="A6" s="52">
        <v>45659</v>
      </c>
      <c r="B6" s="45" t="s">
        <v>8</v>
      </c>
      <c r="C6" s="40">
        <v>250</v>
      </c>
    </row>
    <row r="7" spans="1:3" x14ac:dyDescent="0.35">
      <c r="A7" s="52">
        <v>45660</v>
      </c>
      <c r="B7" s="45" t="s">
        <v>9</v>
      </c>
      <c r="C7" s="40">
        <v>520</v>
      </c>
    </row>
    <row r="8" spans="1:3" ht="15" thickBot="1" x14ac:dyDescent="0.4">
      <c r="A8" s="53">
        <v>45661</v>
      </c>
      <c r="B8" s="18" t="s">
        <v>10</v>
      </c>
      <c r="C8" s="17">
        <v>180</v>
      </c>
    </row>
    <row r="10" spans="1:3" x14ac:dyDescent="0.35">
      <c r="A10" s="1" t="s">
        <v>11</v>
      </c>
      <c r="B10" t="s">
        <v>59</v>
      </c>
    </row>
    <row r="11" spans="1:3" x14ac:dyDescent="0.35">
      <c r="A11" s="1" t="s">
        <v>13</v>
      </c>
      <c r="B11" t="s">
        <v>60</v>
      </c>
    </row>
    <row r="13" spans="1:3" x14ac:dyDescent="0.35">
      <c r="A13" s="3" t="s">
        <v>155</v>
      </c>
      <c r="B13" s="4">
        <f>MIN(C5:C8)</f>
        <v>120</v>
      </c>
    </row>
    <row r="14" spans="1:3" x14ac:dyDescent="0.35">
      <c r="A14" s="3" t="s">
        <v>156</v>
      </c>
      <c r="B14" s="4">
        <f>MAX(C5:C8)</f>
        <v>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workbookViewId="0">
      <selection activeCell="C11" sqref="C11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3" x14ac:dyDescent="0.35">
      <c r="A1" s="1" t="s">
        <v>0</v>
      </c>
      <c r="B1" t="s">
        <v>61</v>
      </c>
    </row>
    <row r="2" spans="1:3" x14ac:dyDescent="0.35">
      <c r="A2" s="1" t="s">
        <v>2</v>
      </c>
      <c r="B2" t="s">
        <v>3</v>
      </c>
    </row>
    <row r="3" spans="1:3" ht="15" thickBot="1" x14ac:dyDescent="0.4"/>
    <row r="4" spans="1:3" ht="15" thickBot="1" x14ac:dyDescent="0.4">
      <c r="A4" s="24" t="s">
        <v>4</v>
      </c>
      <c r="B4" s="16" t="s">
        <v>5</v>
      </c>
      <c r="C4" s="26" t="s">
        <v>6</v>
      </c>
    </row>
    <row r="5" spans="1:3" x14ac:dyDescent="0.35">
      <c r="A5" s="52">
        <v>45658</v>
      </c>
      <c r="B5" s="45" t="s">
        <v>7</v>
      </c>
      <c r="C5" s="60">
        <v>120</v>
      </c>
    </row>
    <row r="6" spans="1:3" x14ac:dyDescent="0.35">
      <c r="A6" s="52">
        <v>45659</v>
      </c>
      <c r="B6" s="45" t="s">
        <v>8</v>
      </c>
      <c r="C6" s="60">
        <v>250</v>
      </c>
    </row>
    <row r="7" spans="1:3" x14ac:dyDescent="0.35">
      <c r="A7" s="52">
        <v>45660</v>
      </c>
      <c r="B7" s="45" t="s">
        <v>9</v>
      </c>
      <c r="C7" s="60">
        <v>520</v>
      </c>
    </row>
    <row r="8" spans="1:3" ht="15" thickBot="1" x14ac:dyDescent="0.4">
      <c r="A8" s="53">
        <v>45661</v>
      </c>
      <c r="B8" s="18" t="s">
        <v>10</v>
      </c>
      <c r="C8" s="20">
        <v>180</v>
      </c>
    </row>
    <row r="10" spans="1:3" x14ac:dyDescent="0.35">
      <c r="A10" s="1" t="s">
        <v>11</v>
      </c>
      <c r="B10" t="s">
        <v>62</v>
      </c>
    </row>
    <row r="11" spans="1:3" x14ac:dyDescent="0.35">
      <c r="A11" s="1" t="s">
        <v>13</v>
      </c>
      <c r="B11" t="s">
        <v>63</v>
      </c>
    </row>
    <row r="13" spans="1:3" x14ac:dyDescent="0.35">
      <c r="A13" s="2" t="s">
        <v>157</v>
      </c>
      <c r="B13" s="59">
        <f>LARGE(C5:C8,2)</f>
        <v>250</v>
      </c>
    </row>
    <row r="14" spans="1:3" x14ac:dyDescent="0.35">
      <c r="A14" s="2" t="s">
        <v>158</v>
      </c>
      <c r="B14" s="59">
        <f>LARGE(C5:C8,3)</f>
        <v>180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>
      <selection activeCell="C5" sqref="C5"/>
    </sheetView>
  </sheetViews>
  <sheetFormatPr defaultRowHeight="14.5" x14ac:dyDescent="0.35"/>
  <cols>
    <col min="1" max="1" width="22" customWidth="1"/>
    <col min="2" max="2" width="30.26953125" customWidth="1"/>
    <col min="3" max="8" width="18" customWidth="1"/>
  </cols>
  <sheetData>
    <row r="1" spans="1:3" x14ac:dyDescent="0.35">
      <c r="A1" s="1" t="s">
        <v>0</v>
      </c>
      <c r="B1" t="s">
        <v>64</v>
      </c>
    </row>
    <row r="2" spans="1:3" x14ac:dyDescent="0.35">
      <c r="A2" s="1" t="s">
        <v>2</v>
      </c>
      <c r="B2" t="s">
        <v>65</v>
      </c>
    </row>
    <row r="3" spans="1:3" ht="15" thickBot="1" x14ac:dyDescent="0.4"/>
    <row r="4" spans="1:3" ht="15" thickBot="1" x14ac:dyDescent="0.4">
      <c r="A4" s="14" t="s">
        <v>23</v>
      </c>
      <c r="B4" s="55" t="s">
        <v>18</v>
      </c>
      <c r="C4" s="15" t="s">
        <v>159</v>
      </c>
    </row>
    <row r="5" spans="1:3" x14ac:dyDescent="0.35">
      <c r="A5" s="11" t="s">
        <v>66</v>
      </c>
      <c r="B5" s="56">
        <v>57</v>
      </c>
      <c r="C5" s="13" t="str">
        <f>IF(B5&gt;=60,"Pass","Fail")</f>
        <v>Fail</v>
      </c>
    </row>
    <row r="6" spans="1:3" x14ac:dyDescent="0.35">
      <c r="A6" s="5" t="s">
        <v>67</v>
      </c>
      <c r="B6" s="57">
        <v>61</v>
      </c>
      <c r="C6" s="7" t="str">
        <f t="shared" ref="C6:C10" si="0">IF(B6&gt;=60,"Pass","Fail")</f>
        <v>Pass</v>
      </c>
    </row>
    <row r="7" spans="1:3" x14ac:dyDescent="0.35">
      <c r="A7" s="5" t="s">
        <v>68</v>
      </c>
      <c r="B7" s="57">
        <v>49</v>
      </c>
      <c r="C7" s="7" t="str">
        <f t="shared" si="0"/>
        <v>Fail</v>
      </c>
    </row>
    <row r="8" spans="1:3" x14ac:dyDescent="0.35">
      <c r="A8" s="5" t="s">
        <v>69</v>
      </c>
      <c r="B8" s="57">
        <v>73</v>
      </c>
      <c r="C8" s="7" t="str">
        <f t="shared" si="0"/>
        <v>Pass</v>
      </c>
    </row>
    <row r="9" spans="1:3" x14ac:dyDescent="0.35">
      <c r="A9" s="5" t="s">
        <v>70</v>
      </c>
      <c r="B9" s="57">
        <v>66</v>
      </c>
      <c r="C9" s="7" t="str">
        <f t="shared" si="0"/>
        <v>Pass</v>
      </c>
    </row>
    <row r="10" spans="1:3" ht="15" thickBot="1" x14ac:dyDescent="0.4">
      <c r="A10" s="6" t="s">
        <v>71</v>
      </c>
      <c r="B10" s="58">
        <v>80</v>
      </c>
      <c r="C10" s="8" t="str">
        <f t="shared" si="0"/>
        <v>Pass</v>
      </c>
    </row>
    <row r="12" spans="1:3" x14ac:dyDescent="0.35">
      <c r="A12" s="1" t="s">
        <v>11</v>
      </c>
      <c r="B12" t="s">
        <v>72</v>
      </c>
    </row>
    <row r="13" spans="1:3" x14ac:dyDescent="0.35">
      <c r="A13" s="1" t="s">
        <v>13</v>
      </c>
      <c r="B13" t="s">
        <v>73</v>
      </c>
    </row>
  </sheetData>
  <conditionalFormatting sqref="C5:C10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workbookViewId="0">
      <selection activeCell="E10" sqref="E10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6" x14ac:dyDescent="0.35">
      <c r="A1" s="1" t="s">
        <v>0</v>
      </c>
      <c r="B1" t="s">
        <v>74</v>
      </c>
    </row>
    <row r="2" spans="1:6" x14ac:dyDescent="0.35">
      <c r="A2" s="1" t="s">
        <v>2</v>
      </c>
      <c r="B2" t="s">
        <v>75</v>
      </c>
    </row>
    <row r="3" spans="1:6" ht="15" thickBot="1" x14ac:dyDescent="0.4"/>
    <row r="4" spans="1:6" ht="15" thickBot="1" x14ac:dyDescent="0.4">
      <c r="A4" s="24" t="s">
        <v>76</v>
      </c>
      <c r="B4" s="16" t="s">
        <v>77</v>
      </c>
      <c r="C4" s="25" t="s">
        <v>49</v>
      </c>
      <c r="E4" s="21" t="s">
        <v>160</v>
      </c>
      <c r="F4" s="22" t="s">
        <v>49</v>
      </c>
    </row>
    <row r="5" spans="1:6" ht="15" thickBot="1" x14ac:dyDescent="0.4">
      <c r="A5" s="37" t="s">
        <v>7</v>
      </c>
      <c r="B5" s="45" t="s">
        <v>78</v>
      </c>
      <c r="C5" s="40">
        <v>10</v>
      </c>
      <c r="E5" s="19" t="s">
        <v>9</v>
      </c>
      <c r="F5" s="20">
        <f>VLOOKUP(E5,A5:C14,COLUMNS(A5:C14),0)</f>
        <v>450</v>
      </c>
    </row>
    <row r="6" spans="1:6" x14ac:dyDescent="0.35">
      <c r="A6" s="37" t="s">
        <v>8</v>
      </c>
      <c r="B6" s="45" t="s">
        <v>78</v>
      </c>
      <c r="C6" s="40">
        <v>120</v>
      </c>
    </row>
    <row r="7" spans="1:6" x14ac:dyDescent="0.35">
      <c r="A7" s="37" t="s">
        <v>9</v>
      </c>
      <c r="B7" s="45" t="s">
        <v>79</v>
      </c>
      <c r="C7" s="40">
        <v>450</v>
      </c>
    </row>
    <row r="8" spans="1:6" x14ac:dyDescent="0.35">
      <c r="A8" s="37" t="s">
        <v>10</v>
      </c>
      <c r="B8" s="45" t="s">
        <v>78</v>
      </c>
      <c r="C8" s="40">
        <v>8</v>
      </c>
    </row>
    <row r="9" spans="1:6" x14ac:dyDescent="0.35">
      <c r="A9" s="37" t="s">
        <v>80</v>
      </c>
      <c r="B9" s="45" t="s">
        <v>78</v>
      </c>
      <c r="C9" s="40">
        <v>90</v>
      </c>
    </row>
    <row r="10" spans="1:6" x14ac:dyDescent="0.35">
      <c r="A10" s="37" t="s">
        <v>81</v>
      </c>
      <c r="B10" s="45" t="s">
        <v>78</v>
      </c>
      <c r="C10" s="40">
        <v>5</v>
      </c>
    </row>
    <row r="11" spans="1:6" x14ac:dyDescent="0.35">
      <c r="A11" s="37" t="s">
        <v>82</v>
      </c>
      <c r="B11" s="45" t="s">
        <v>78</v>
      </c>
      <c r="C11" s="40">
        <v>60</v>
      </c>
    </row>
    <row r="12" spans="1:6" x14ac:dyDescent="0.35">
      <c r="A12" s="37" t="s">
        <v>83</v>
      </c>
      <c r="B12" s="45" t="s">
        <v>84</v>
      </c>
      <c r="C12" s="40">
        <v>140</v>
      </c>
    </row>
    <row r="13" spans="1:6" x14ac:dyDescent="0.35">
      <c r="A13" s="37" t="s">
        <v>85</v>
      </c>
      <c r="B13" s="45" t="s">
        <v>84</v>
      </c>
      <c r="C13" s="40">
        <v>220</v>
      </c>
    </row>
    <row r="14" spans="1:6" ht="15" thickBot="1" x14ac:dyDescent="0.4">
      <c r="A14" s="23" t="s">
        <v>86</v>
      </c>
      <c r="B14" s="18" t="s">
        <v>78</v>
      </c>
      <c r="C14" s="17">
        <v>30</v>
      </c>
    </row>
    <row r="16" spans="1:6" x14ac:dyDescent="0.35">
      <c r="A16" s="1" t="s">
        <v>11</v>
      </c>
      <c r="B16" t="s">
        <v>87</v>
      </c>
    </row>
    <row r="17" spans="1:2" x14ac:dyDescent="0.35">
      <c r="A17" s="1" t="s">
        <v>13</v>
      </c>
      <c r="B17" t="s">
        <v>88</v>
      </c>
    </row>
  </sheetData>
  <dataValidations count="1">
    <dataValidation type="list" allowBlank="1" showInputMessage="1" showErrorMessage="1" sqref="E5" xr:uid="{6ADCDE85-DB0B-475F-BD59-269012CBF181}">
      <formula1>$A$5:$A$14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workbookViewId="0">
      <selection activeCell="F5" sqref="F5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6" x14ac:dyDescent="0.35">
      <c r="A1" s="1" t="s">
        <v>0</v>
      </c>
      <c r="B1" t="s">
        <v>89</v>
      </c>
    </row>
    <row r="2" spans="1:6" x14ac:dyDescent="0.35">
      <c r="A2" s="1" t="s">
        <v>2</v>
      </c>
      <c r="B2" t="s">
        <v>75</v>
      </c>
    </row>
    <row r="3" spans="1:6" ht="15" thickBot="1" x14ac:dyDescent="0.4"/>
    <row r="4" spans="1:6" ht="15" thickBot="1" x14ac:dyDescent="0.4">
      <c r="A4" s="24" t="s">
        <v>76</v>
      </c>
      <c r="B4" s="16" t="s">
        <v>77</v>
      </c>
      <c r="C4" s="25" t="s">
        <v>49</v>
      </c>
      <c r="E4" s="21" t="s">
        <v>160</v>
      </c>
      <c r="F4" s="22" t="s">
        <v>77</v>
      </c>
    </row>
    <row r="5" spans="1:6" ht="15" thickBot="1" x14ac:dyDescent="0.4">
      <c r="A5" s="11" t="s">
        <v>7</v>
      </c>
      <c r="B5" s="12" t="s">
        <v>78</v>
      </c>
      <c r="C5" s="34">
        <v>10</v>
      </c>
      <c r="E5" s="27" t="s">
        <v>81</v>
      </c>
      <c r="F5" s="20" t="str">
        <f>INDEX(B5:B14,MATCH(E5,A5:A14,0))</f>
        <v>Stationery</v>
      </c>
    </row>
    <row r="6" spans="1:6" x14ac:dyDescent="0.35">
      <c r="A6" s="5" t="s">
        <v>8</v>
      </c>
      <c r="B6" s="9" t="s">
        <v>78</v>
      </c>
      <c r="C6" s="35">
        <v>120</v>
      </c>
    </row>
    <row r="7" spans="1:6" x14ac:dyDescent="0.35">
      <c r="A7" s="5" t="s">
        <v>9</v>
      </c>
      <c r="B7" s="9" t="s">
        <v>79</v>
      </c>
      <c r="C7" s="35">
        <v>450</v>
      </c>
    </row>
    <row r="8" spans="1:6" x14ac:dyDescent="0.35">
      <c r="A8" s="5" t="s">
        <v>10</v>
      </c>
      <c r="B8" s="9" t="s">
        <v>78</v>
      </c>
      <c r="C8" s="35">
        <v>8</v>
      </c>
    </row>
    <row r="9" spans="1:6" x14ac:dyDescent="0.35">
      <c r="A9" s="5" t="s">
        <v>80</v>
      </c>
      <c r="B9" s="9" t="s">
        <v>78</v>
      </c>
      <c r="C9" s="35">
        <v>90</v>
      </c>
    </row>
    <row r="10" spans="1:6" x14ac:dyDescent="0.35">
      <c r="A10" s="5" t="s">
        <v>81</v>
      </c>
      <c r="B10" s="9" t="s">
        <v>78</v>
      </c>
      <c r="C10" s="35">
        <v>5</v>
      </c>
    </row>
    <row r="11" spans="1:6" x14ac:dyDescent="0.35">
      <c r="A11" s="5" t="s">
        <v>82</v>
      </c>
      <c r="B11" s="9" t="s">
        <v>78</v>
      </c>
      <c r="C11" s="35">
        <v>60</v>
      </c>
    </row>
    <row r="12" spans="1:6" x14ac:dyDescent="0.35">
      <c r="A12" s="5" t="s">
        <v>83</v>
      </c>
      <c r="B12" s="9" t="s">
        <v>84</v>
      </c>
      <c r="C12" s="35">
        <v>140</v>
      </c>
    </row>
    <row r="13" spans="1:6" x14ac:dyDescent="0.35">
      <c r="A13" s="5" t="s">
        <v>85</v>
      </c>
      <c r="B13" s="9" t="s">
        <v>84</v>
      </c>
      <c r="C13" s="35">
        <v>220</v>
      </c>
    </row>
    <row r="14" spans="1:6" ht="15" thickBot="1" x14ac:dyDescent="0.4">
      <c r="A14" s="6" t="s">
        <v>86</v>
      </c>
      <c r="B14" s="10" t="s">
        <v>78</v>
      </c>
      <c r="C14" s="36">
        <v>30</v>
      </c>
    </row>
    <row r="16" spans="1:6" x14ac:dyDescent="0.35">
      <c r="A16" s="1" t="s">
        <v>11</v>
      </c>
      <c r="B16" t="s">
        <v>90</v>
      </c>
    </row>
    <row r="17" spans="1:2" x14ac:dyDescent="0.35">
      <c r="A17" s="1" t="s">
        <v>13</v>
      </c>
      <c r="B17" t="s">
        <v>91</v>
      </c>
    </row>
  </sheetData>
  <dataValidations count="1">
    <dataValidation type="list" allowBlank="1" showInputMessage="1" showErrorMessage="1" sqref="E5" xr:uid="{FCE832BC-B89B-496E-96A5-F1401B86CBC4}">
      <formula1>$A$5:$A$14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workbookViewId="0">
      <selection activeCell="B12" sqref="B12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2" x14ac:dyDescent="0.35">
      <c r="A1" s="1" t="s">
        <v>0</v>
      </c>
      <c r="B1" t="s">
        <v>92</v>
      </c>
    </row>
    <row r="2" spans="1:2" x14ac:dyDescent="0.35">
      <c r="A2" s="1" t="s">
        <v>2</v>
      </c>
      <c r="B2" t="s">
        <v>93</v>
      </c>
    </row>
    <row r="3" spans="1:2" ht="15" thickBot="1" x14ac:dyDescent="0.4"/>
    <row r="4" spans="1:2" ht="15" thickBot="1" x14ac:dyDescent="0.4">
      <c r="A4" s="24" t="s">
        <v>4</v>
      </c>
      <c r="B4" s="16" t="s">
        <v>6</v>
      </c>
    </row>
    <row r="5" spans="1:2" x14ac:dyDescent="0.35">
      <c r="A5" s="52">
        <v>45731</v>
      </c>
      <c r="B5" s="45">
        <v>300</v>
      </c>
    </row>
    <row r="6" spans="1:2" x14ac:dyDescent="0.35">
      <c r="A6" s="52">
        <v>45846</v>
      </c>
      <c r="B6" s="45">
        <v>500</v>
      </c>
    </row>
    <row r="7" spans="1:2" ht="15" thickBot="1" x14ac:dyDescent="0.4">
      <c r="A7" s="53">
        <v>45658</v>
      </c>
      <c r="B7" s="18">
        <v>200</v>
      </c>
    </row>
    <row r="9" spans="1:2" x14ac:dyDescent="0.35">
      <c r="A9" s="1" t="s">
        <v>11</v>
      </c>
      <c r="B9" t="s">
        <v>94</v>
      </c>
    </row>
    <row r="10" spans="1:2" x14ac:dyDescent="0.35">
      <c r="A10" s="1" t="s">
        <v>13</v>
      </c>
      <c r="B10" t="s">
        <v>95</v>
      </c>
    </row>
    <row r="12" spans="1:2" x14ac:dyDescent="0.35">
      <c r="A12" s="3" t="s">
        <v>161</v>
      </c>
      <c r="B12" s="29" t="str">
        <f>TEXT(A5,"mmmm")</f>
        <v>March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workbookViewId="0">
      <selection activeCell="B15" sqref="B15"/>
    </sheetView>
  </sheetViews>
  <sheetFormatPr defaultRowHeight="14.5" x14ac:dyDescent="0.35"/>
  <cols>
    <col min="1" max="1" width="23.453125" customWidth="1"/>
    <col min="2" max="2" width="25.1796875" customWidth="1"/>
    <col min="3" max="8" width="18" customWidth="1"/>
  </cols>
  <sheetData>
    <row r="1" spans="1:3" x14ac:dyDescent="0.35">
      <c r="A1" s="1" t="s">
        <v>0</v>
      </c>
      <c r="B1" t="s">
        <v>96</v>
      </c>
    </row>
    <row r="2" spans="1:3" x14ac:dyDescent="0.35">
      <c r="A2" s="1" t="s">
        <v>2</v>
      </c>
      <c r="B2" t="s">
        <v>93</v>
      </c>
    </row>
    <row r="3" spans="1:3" ht="15" thickBot="1" x14ac:dyDescent="0.4"/>
    <row r="4" spans="1:3" ht="15" thickBot="1" x14ac:dyDescent="0.4">
      <c r="A4" s="24" t="s">
        <v>4</v>
      </c>
      <c r="B4" s="16" t="s">
        <v>6</v>
      </c>
    </row>
    <row r="5" spans="1:3" x14ac:dyDescent="0.35">
      <c r="A5" s="52">
        <v>45731</v>
      </c>
      <c r="B5" s="45">
        <v>300</v>
      </c>
    </row>
    <row r="6" spans="1:3" x14ac:dyDescent="0.35">
      <c r="A6" s="52">
        <v>45846</v>
      </c>
      <c r="B6" s="45">
        <v>500</v>
      </c>
    </row>
    <row r="7" spans="1:3" ht="15" thickBot="1" x14ac:dyDescent="0.4">
      <c r="A7" s="53">
        <v>45658</v>
      </c>
      <c r="B7" s="18">
        <v>200</v>
      </c>
    </row>
    <row r="9" spans="1:3" ht="14" customHeight="1" x14ac:dyDescent="0.35">
      <c r="A9" s="1" t="s">
        <v>11</v>
      </c>
      <c r="B9" t="s">
        <v>97</v>
      </c>
    </row>
    <row r="10" spans="1:3" x14ac:dyDescent="0.35">
      <c r="A10" s="1" t="s">
        <v>13</v>
      </c>
      <c r="B10" t="s">
        <v>98</v>
      </c>
    </row>
    <row r="11" spans="1:3" ht="15" thickBot="1" x14ac:dyDescent="0.4"/>
    <row r="12" spans="1:3" ht="15" thickBot="1" x14ac:dyDescent="0.4">
      <c r="A12" s="31" t="s">
        <v>162</v>
      </c>
      <c r="B12" s="30">
        <f>A5+B14</f>
        <v>45761</v>
      </c>
    </row>
    <row r="13" spans="1:3" ht="15" thickBot="1" x14ac:dyDescent="0.4"/>
    <row r="14" spans="1:3" ht="15" thickBot="1" x14ac:dyDescent="0.4">
      <c r="A14" s="3" t="s">
        <v>173</v>
      </c>
      <c r="B14" s="33">
        <v>30</v>
      </c>
      <c r="C14" s="2" t="s">
        <v>163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workbookViewId="0">
      <selection activeCell="C4" sqref="C4"/>
    </sheetView>
  </sheetViews>
  <sheetFormatPr defaultRowHeight="14.5" x14ac:dyDescent="0.35"/>
  <cols>
    <col min="1" max="1" width="22" customWidth="1"/>
    <col min="2" max="2" width="34" customWidth="1"/>
    <col min="3" max="8" width="18" customWidth="1"/>
  </cols>
  <sheetData>
    <row r="1" spans="1:2" x14ac:dyDescent="0.35">
      <c r="A1" s="1" t="s">
        <v>0</v>
      </c>
      <c r="B1" t="s">
        <v>99</v>
      </c>
    </row>
    <row r="2" spans="1:2" x14ac:dyDescent="0.35">
      <c r="A2" s="1" t="s">
        <v>2</v>
      </c>
      <c r="B2" t="s">
        <v>100</v>
      </c>
    </row>
    <row r="3" spans="1:2" ht="15" thickBot="1" x14ac:dyDescent="0.4"/>
    <row r="4" spans="1:2" ht="15" thickBot="1" x14ac:dyDescent="0.4">
      <c r="A4" s="16" t="s">
        <v>101</v>
      </c>
      <c r="B4" s="26" t="s">
        <v>164</v>
      </c>
    </row>
    <row r="5" spans="1:2" x14ac:dyDescent="0.35">
      <c r="A5" s="12" t="s">
        <v>102</v>
      </c>
      <c r="B5" s="47" t="str">
        <f>LEFT(A5,(FIND("-",A5)-1))</f>
        <v>UK</v>
      </c>
    </row>
    <row r="6" spans="1:2" x14ac:dyDescent="0.35">
      <c r="A6" s="9" t="s">
        <v>103</v>
      </c>
      <c r="B6" s="47" t="str">
        <f t="shared" ref="B6:B8" si="0">LEFT(A6,(FIND("-",A6)-1))</f>
        <v>IN</v>
      </c>
    </row>
    <row r="7" spans="1:2" x14ac:dyDescent="0.35">
      <c r="A7" s="9" t="s">
        <v>104</v>
      </c>
      <c r="B7" s="47" t="str">
        <f t="shared" si="0"/>
        <v>US</v>
      </c>
    </row>
    <row r="8" spans="1:2" ht="15" thickBot="1" x14ac:dyDescent="0.4">
      <c r="A8" s="10" t="s">
        <v>105</v>
      </c>
      <c r="B8" s="47" t="str">
        <f t="shared" si="0"/>
        <v>AE</v>
      </c>
    </row>
    <row r="10" spans="1:2" x14ac:dyDescent="0.35">
      <c r="A10" s="1" t="s">
        <v>11</v>
      </c>
      <c r="B10" t="s">
        <v>106</v>
      </c>
    </row>
    <row r="11" spans="1:2" x14ac:dyDescent="0.35">
      <c r="A11" s="1" t="s">
        <v>13</v>
      </c>
      <c r="B11" t="s">
        <v>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"/>
  <sheetViews>
    <sheetView workbookViewId="0">
      <selection activeCell="B5" sqref="B5:B8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2" x14ac:dyDescent="0.35">
      <c r="A1" s="1" t="s">
        <v>0</v>
      </c>
      <c r="B1" t="s">
        <v>108</v>
      </c>
    </row>
    <row r="2" spans="1:2" x14ac:dyDescent="0.35">
      <c r="A2" s="1" t="s">
        <v>2</v>
      </c>
      <c r="B2" t="s">
        <v>100</v>
      </c>
    </row>
    <row r="3" spans="1:2" ht="15" thickBot="1" x14ac:dyDescent="0.4"/>
    <row r="4" spans="1:2" ht="15" thickBot="1" x14ac:dyDescent="0.4">
      <c r="A4" s="16" t="s">
        <v>101</v>
      </c>
      <c r="B4" s="26" t="s">
        <v>165</v>
      </c>
    </row>
    <row r="5" spans="1:2" x14ac:dyDescent="0.35">
      <c r="A5" s="12" t="s">
        <v>102</v>
      </c>
      <c r="B5" s="47" t="str">
        <f>MID(A5,(FIND("-",A5)+1),4)</f>
        <v>2025</v>
      </c>
    </row>
    <row r="6" spans="1:2" x14ac:dyDescent="0.35">
      <c r="A6" s="9" t="s">
        <v>103</v>
      </c>
      <c r="B6" s="48" t="str">
        <f t="shared" ref="B6:B8" si="0">MID(A6,(FIND("-",A6)+1),4)</f>
        <v>2024</v>
      </c>
    </row>
    <row r="7" spans="1:2" x14ac:dyDescent="0.35">
      <c r="A7" s="9" t="s">
        <v>104</v>
      </c>
      <c r="B7" s="48" t="str">
        <f t="shared" si="0"/>
        <v>2023</v>
      </c>
    </row>
    <row r="8" spans="1:2" ht="15" thickBot="1" x14ac:dyDescent="0.4">
      <c r="A8" s="10" t="s">
        <v>105</v>
      </c>
      <c r="B8" s="49" t="str">
        <f t="shared" si="0"/>
        <v>2025</v>
      </c>
    </row>
    <row r="10" spans="1:2" x14ac:dyDescent="0.35">
      <c r="A10" s="1" t="s">
        <v>11</v>
      </c>
      <c r="B10" t="s">
        <v>109</v>
      </c>
    </row>
    <row r="11" spans="1:2" x14ac:dyDescent="0.35">
      <c r="A11" s="1" t="s">
        <v>13</v>
      </c>
      <c r="B11" t="s">
        <v>110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1"/>
  <sheetViews>
    <sheetView workbookViewId="0">
      <selection activeCell="D5" sqref="D5"/>
    </sheetView>
  </sheetViews>
  <sheetFormatPr defaultRowHeight="14.5" x14ac:dyDescent="0.35"/>
  <cols>
    <col min="1" max="1" width="22" customWidth="1"/>
    <col min="2" max="2" width="33" customWidth="1"/>
    <col min="3" max="3" width="18" customWidth="1"/>
    <col min="4" max="4" width="20.26953125" bestFit="1" customWidth="1"/>
    <col min="5" max="8" width="18" customWidth="1"/>
  </cols>
  <sheetData>
    <row r="1" spans="1:4" x14ac:dyDescent="0.35">
      <c r="A1" s="1" t="s">
        <v>0</v>
      </c>
      <c r="B1" t="s">
        <v>111</v>
      </c>
    </row>
    <row r="2" spans="1:4" x14ac:dyDescent="0.35">
      <c r="A2" s="1" t="s">
        <v>2</v>
      </c>
      <c r="B2" t="s">
        <v>112</v>
      </c>
    </row>
    <row r="3" spans="1:4" ht="15" thickBot="1" x14ac:dyDescent="0.4"/>
    <row r="4" spans="1:4" ht="15" thickBot="1" x14ac:dyDescent="0.4">
      <c r="A4" s="24" t="s">
        <v>113</v>
      </c>
      <c r="B4" s="16" t="s">
        <v>114</v>
      </c>
      <c r="C4" s="44" t="s">
        <v>115</v>
      </c>
      <c r="D4" s="32" t="s">
        <v>166</v>
      </c>
    </row>
    <row r="5" spans="1:4" x14ac:dyDescent="0.35">
      <c r="A5" s="37" t="s">
        <v>25</v>
      </c>
      <c r="B5" s="45" t="s">
        <v>116</v>
      </c>
      <c r="C5" s="39" t="s">
        <v>117</v>
      </c>
      <c r="D5" s="46" t="str">
        <f>_xlfn.CONCAT(A5," ",B5,"-",C5)</f>
        <v>Aisha Khan-London</v>
      </c>
    </row>
    <row r="6" spans="1:4" x14ac:dyDescent="0.35">
      <c r="A6" s="37" t="s">
        <v>118</v>
      </c>
      <c r="B6" s="45" t="s">
        <v>119</v>
      </c>
      <c r="C6" s="39" t="s">
        <v>120</v>
      </c>
      <c r="D6" s="46" t="str">
        <f t="shared" ref="D6:D8" si="0">_xlfn.CONCAT(A6," ",B6,"-",C6)</f>
        <v>Ravi Verma-Delhi</v>
      </c>
    </row>
    <row r="7" spans="1:4" x14ac:dyDescent="0.35">
      <c r="A7" s="37" t="s">
        <v>121</v>
      </c>
      <c r="B7" s="45" t="s">
        <v>122</v>
      </c>
      <c r="C7" s="39" t="s">
        <v>123</v>
      </c>
      <c r="D7" s="46" t="str">
        <f t="shared" si="0"/>
        <v>Mira Patel-Ahmedabad</v>
      </c>
    </row>
    <row r="8" spans="1:4" ht="15" thickBot="1" x14ac:dyDescent="0.4">
      <c r="A8" s="23" t="s">
        <v>124</v>
      </c>
      <c r="B8" s="18" t="s">
        <v>125</v>
      </c>
      <c r="C8" s="42" t="s">
        <v>126</v>
      </c>
      <c r="D8" s="19" t="str">
        <f t="shared" si="0"/>
        <v>John Wong-Singapore</v>
      </c>
    </row>
    <row r="10" spans="1:4" x14ac:dyDescent="0.35">
      <c r="A10" s="1" t="s">
        <v>11</v>
      </c>
      <c r="B10" t="s">
        <v>127</v>
      </c>
    </row>
    <row r="11" spans="1:4" x14ac:dyDescent="0.35">
      <c r="A11" s="1" t="s">
        <v>13</v>
      </c>
      <c r="B11" t="s">
        <v>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1"/>
  <sheetViews>
    <sheetView workbookViewId="0">
      <selection activeCell="B15" sqref="B15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2" x14ac:dyDescent="0.35">
      <c r="A1" s="1" t="s">
        <v>0</v>
      </c>
      <c r="B1" t="s">
        <v>129</v>
      </c>
    </row>
    <row r="2" spans="1:2" x14ac:dyDescent="0.35">
      <c r="A2" s="1" t="s">
        <v>2</v>
      </c>
      <c r="B2" t="s">
        <v>130</v>
      </c>
    </row>
    <row r="3" spans="1:2" ht="15" thickBot="1" x14ac:dyDescent="0.4"/>
    <row r="4" spans="1:2" ht="15" thickBot="1" x14ac:dyDescent="0.4">
      <c r="A4" s="16" t="s">
        <v>131</v>
      </c>
      <c r="B4" s="25" t="s">
        <v>167</v>
      </c>
    </row>
    <row r="5" spans="1:2" x14ac:dyDescent="0.35">
      <c r="A5" s="45" t="s">
        <v>132</v>
      </c>
      <c r="B5" s="50" t="str">
        <f>TRIM(PROPER(A5))</f>
        <v>Rishabh</v>
      </c>
    </row>
    <row r="6" spans="1:2" x14ac:dyDescent="0.35">
      <c r="A6" s="45" t="s">
        <v>133</v>
      </c>
      <c r="B6" s="50" t="str">
        <f t="shared" ref="B6:B8" si="0">TRIM(PROPER(A6))</f>
        <v>Ankita</v>
      </c>
    </row>
    <row r="7" spans="1:2" x14ac:dyDescent="0.35">
      <c r="A7" s="45" t="s">
        <v>134</v>
      </c>
      <c r="B7" s="50" t="str">
        <f t="shared" si="0"/>
        <v>Shubhanshu</v>
      </c>
    </row>
    <row r="8" spans="1:2" ht="15" thickBot="1" x14ac:dyDescent="0.4">
      <c r="A8" s="18" t="s">
        <v>135</v>
      </c>
      <c r="B8" s="51" t="str">
        <f t="shared" si="0"/>
        <v>Sohit</v>
      </c>
    </row>
    <row r="10" spans="1:2" x14ac:dyDescent="0.35">
      <c r="A10" s="1" t="s">
        <v>11</v>
      </c>
      <c r="B10" t="s">
        <v>136</v>
      </c>
    </row>
    <row r="11" spans="1:2" x14ac:dyDescent="0.35">
      <c r="A11" s="1" t="s">
        <v>13</v>
      </c>
      <c r="B11" t="s">
        <v>137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3"/>
  <sheetViews>
    <sheetView workbookViewId="0">
      <selection activeCell="B19" sqref="B19"/>
    </sheetView>
  </sheetViews>
  <sheetFormatPr defaultRowHeight="14.5" x14ac:dyDescent="0.35"/>
  <cols>
    <col min="1" max="1" width="25.36328125" bestFit="1" customWidth="1"/>
    <col min="2" max="2" width="65" customWidth="1"/>
    <col min="3" max="8" width="18" customWidth="1"/>
  </cols>
  <sheetData>
    <row r="1" spans="1:2" x14ac:dyDescent="0.35">
      <c r="A1" s="1" t="s">
        <v>0</v>
      </c>
      <c r="B1" t="s">
        <v>138</v>
      </c>
    </row>
    <row r="2" spans="1:2" x14ac:dyDescent="0.35">
      <c r="A2" s="1" t="s">
        <v>2</v>
      </c>
      <c r="B2" t="s">
        <v>139</v>
      </c>
    </row>
    <row r="3" spans="1:2" ht="15" thickBot="1" x14ac:dyDescent="0.4"/>
    <row r="4" spans="1:2" ht="15" thickBot="1" x14ac:dyDescent="0.4">
      <c r="A4" s="16" t="s">
        <v>24</v>
      </c>
    </row>
    <row r="5" spans="1:2" x14ac:dyDescent="0.35">
      <c r="A5" s="45" t="s">
        <v>26</v>
      </c>
    </row>
    <row r="6" spans="1:2" x14ac:dyDescent="0.35">
      <c r="A6" s="45" t="s">
        <v>28</v>
      </c>
    </row>
    <row r="7" spans="1:2" x14ac:dyDescent="0.35">
      <c r="A7" s="45" t="s">
        <v>26</v>
      </c>
    </row>
    <row r="8" spans="1:2" x14ac:dyDescent="0.35">
      <c r="A8" s="45" t="s">
        <v>30</v>
      </c>
    </row>
    <row r="9" spans="1:2" x14ac:dyDescent="0.35">
      <c r="A9" s="45" t="s">
        <v>28</v>
      </c>
    </row>
    <row r="10" spans="1:2" x14ac:dyDescent="0.35">
      <c r="A10" s="45" t="s">
        <v>30</v>
      </c>
    </row>
    <row r="11" spans="1:2" x14ac:dyDescent="0.35">
      <c r="A11" s="45" t="s">
        <v>35</v>
      </c>
    </row>
    <row r="12" spans="1:2" x14ac:dyDescent="0.35">
      <c r="A12" s="45" t="s">
        <v>30</v>
      </c>
    </row>
    <row r="13" spans="1:2" x14ac:dyDescent="0.35">
      <c r="A13" s="45" t="s">
        <v>26</v>
      </c>
    </row>
    <row r="14" spans="1:2" ht="15" thickBot="1" x14ac:dyDescent="0.4">
      <c r="A14" s="18" t="s">
        <v>28</v>
      </c>
    </row>
    <row r="16" spans="1:2" x14ac:dyDescent="0.35">
      <c r="A16" s="1" t="s">
        <v>11</v>
      </c>
      <c r="B16" t="s">
        <v>140</v>
      </c>
    </row>
    <row r="17" spans="1:2" x14ac:dyDescent="0.35">
      <c r="A17" s="1" t="s">
        <v>13</v>
      </c>
      <c r="B17" t="s">
        <v>141</v>
      </c>
    </row>
    <row r="19" spans="1:2" x14ac:dyDescent="0.35">
      <c r="A19" s="3" t="s">
        <v>168</v>
      </c>
      <c r="B19" s="29">
        <f>COUNTA(_xlfn.UNIQUE(A5:A14))</f>
        <v>4</v>
      </c>
    </row>
    <row r="20" spans="1:2" x14ac:dyDescent="0.35">
      <c r="A20" s="3" t="s">
        <v>169</v>
      </c>
      <c r="B20" t="str" cm="1">
        <f t="array" ref="B20:B23">_xlfn.UNIQUE(A5:A14)</f>
        <v>Sales</v>
      </c>
    </row>
    <row r="21" spans="1:2" x14ac:dyDescent="0.35">
      <c r="B21" t="str">
        <v>HR</v>
      </c>
    </row>
    <row r="22" spans="1:2" x14ac:dyDescent="0.35">
      <c r="B22" t="str">
        <v>Tech</v>
      </c>
    </row>
    <row r="23" spans="1:2" x14ac:dyDescent="0.35">
      <c r="B23" t="str">
        <v>Admin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8"/>
  <sheetViews>
    <sheetView workbookViewId="0">
      <selection activeCell="C14" sqref="C14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4" x14ac:dyDescent="0.35">
      <c r="A1" s="1" t="s">
        <v>0</v>
      </c>
      <c r="B1" t="s">
        <v>142</v>
      </c>
    </row>
    <row r="2" spans="1:4" x14ac:dyDescent="0.35">
      <c r="A2" s="1" t="s">
        <v>2</v>
      </c>
      <c r="B2" t="s">
        <v>45</v>
      </c>
    </row>
    <row r="3" spans="1:4" ht="15" thickBot="1" x14ac:dyDescent="0.4"/>
    <row r="4" spans="1:4" ht="15" thickBot="1" x14ac:dyDescent="0.4">
      <c r="A4" s="24" t="s">
        <v>46</v>
      </c>
      <c r="B4" s="16" t="s">
        <v>47</v>
      </c>
      <c r="C4" s="43" t="s">
        <v>48</v>
      </c>
      <c r="D4" s="16" t="s">
        <v>49</v>
      </c>
    </row>
    <row r="5" spans="1:4" x14ac:dyDescent="0.35">
      <c r="A5" s="37">
        <v>1001</v>
      </c>
      <c r="B5" s="45" t="s">
        <v>50</v>
      </c>
      <c r="C5" s="38">
        <v>5</v>
      </c>
      <c r="D5" s="45">
        <v>100</v>
      </c>
    </row>
    <row r="6" spans="1:4" x14ac:dyDescent="0.35">
      <c r="A6" s="37">
        <v>1002</v>
      </c>
      <c r="B6" s="45" t="s">
        <v>51</v>
      </c>
      <c r="C6" s="38">
        <v>3</v>
      </c>
      <c r="D6" s="45">
        <v>200</v>
      </c>
    </row>
    <row r="7" spans="1:4" x14ac:dyDescent="0.35">
      <c r="A7" s="37">
        <v>1003</v>
      </c>
      <c r="B7" s="45" t="s">
        <v>50</v>
      </c>
      <c r="C7" s="38">
        <v>8</v>
      </c>
      <c r="D7" s="45">
        <v>80</v>
      </c>
    </row>
    <row r="8" spans="1:4" x14ac:dyDescent="0.35">
      <c r="A8" s="37">
        <v>1004</v>
      </c>
      <c r="B8" s="45" t="s">
        <v>52</v>
      </c>
      <c r="C8" s="38">
        <v>10</v>
      </c>
      <c r="D8" s="45">
        <v>60</v>
      </c>
    </row>
    <row r="9" spans="1:4" x14ac:dyDescent="0.35">
      <c r="A9" s="37">
        <v>1005</v>
      </c>
      <c r="B9" s="45" t="s">
        <v>51</v>
      </c>
      <c r="C9" s="38">
        <v>6</v>
      </c>
      <c r="D9" s="45">
        <v>150</v>
      </c>
    </row>
    <row r="10" spans="1:4" x14ac:dyDescent="0.35">
      <c r="A10" s="37">
        <v>1006</v>
      </c>
      <c r="B10" s="45" t="s">
        <v>50</v>
      </c>
      <c r="C10" s="38">
        <v>4</v>
      </c>
      <c r="D10" s="45">
        <v>120</v>
      </c>
    </row>
    <row r="11" spans="1:4" x14ac:dyDescent="0.35">
      <c r="A11" s="37">
        <v>1007</v>
      </c>
      <c r="B11" s="45" t="s">
        <v>51</v>
      </c>
      <c r="C11" s="38">
        <v>9</v>
      </c>
      <c r="D11" s="45">
        <v>90</v>
      </c>
    </row>
    <row r="12" spans="1:4" ht="15" thickBot="1" x14ac:dyDescent="0.4">
      <c r="A12" s="23">
        <v>1008</v>
      </c>
      <c r="B12" s="18" t="s">
        <v>52</v>
      </c>
      <c r="C12" s="41">
        <v>2</v>
      </c>
      <c r="D12" s="18">
        <v>300</v>
      </c>
    </row>
    <row r="14" spans="1:4" x14ac:dyDescent="0.35">
      <c r="A14" s="1" t="s">
        <v>11</v>
      </c>
      <c r="B14" t="s">
        <v>143</v>
      </c>
    </row>
    <row r="15" spans="1:4" x14ac:dyDescent="0.35">
      <c r="A15" s="1" t="s">
        <v>13</v>
      </c>
      <c r="B15" t="s">
        <v>144</v>
      </c>
    </row>
    <row r="17" spans="1:2" x14ac:dyDescent="0.35">
      <c r="A17" s="3" t="s">
        <v>170</v>
      </c>
      <c r="B17" s="28" cm="1">
        <f t="array" ref="B17">SUMPRODUCT((B5:B12="East")*(C5:C12&gt;=5)*(C5:C12*D5:D12))</f>
        <v>1140</v>
      </c>
    </row>
    <row r="18" spans="1:2" x14ac:dyDescent="0.35">
      <c r="A18" s="3" t="s">
        <v>171</v>
      </c>
      <c r="B18" s="28" cm="1">
        <f t="array" ref="B18">SUMPRODUCT(--(B5:B12="East")*--(C5:C12&gt;=5),(C5:C12*D5:D12))</f>
        <v>1140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3"/>
  <sheetViews>
    <sheetView tabSelected="1" workbookViewId="0">
      <selection activeCell="B18" sqref="B18"/>
    </sheetView>
  </sheetViews>
  <sheetFormatPr defaultRowHeight="14.5" x14ac:dyDescent="0.35"/>
  <cols>
    <col min="1" max="1" width="22" customWidth="1"/>
    <col min="2" max="2" width="65" customWidth="1"/>
    <col min="3" max="8" width="18" customWidth="1"/>
  </cols>
  <sheetData>
    <row r="1" spans="1:3" x14ac:dyDescent="0.35">
      <c r="A1" s="1" t="s">
        <v>0</v>
      </c>
      <c r="B1" t="s">
        <v>145</v>
      </c>
    </row>
    <row r="2" spans="1:3" x14ac:dyDescent="0.35">
      <c r="A2" s="1" t="s">
        <v>2</v>
      </c>
      <c r="B2" t="s">
        <v>3</v>
      </c>
    </row>
    <row r="3" spans="1:3" ht="15" thickBot="1" x14ac:dyDescent="0.4"/>
    <row r="4" spans="1:3" ht="15" thickBot="1" x14ac:dyDescent="0.4">
      <c r="A4" s="24" t="s">
        <v>4</v>
      </c>
      <c r="B4" s="54" t="s">
        <v>5</v>
      </c>
      <c r="C4" s="25" t="s">
        <v>6</v>
      </c>
    </row>
    <row r="5" spans="1:3" x14ac:dyDescent="0.35">
      <c r="A5" s="52">
        <v>45658</v>
      </c>
      <c r="B5" s="45" t="s">
        <v>7</v>
      </c>
      <c r="C5" s="40">
        <v>120</v>
      </c>
    </row>
    <row r="6" spans="1:3" x14ac:dyDescent="0.35">
      <c r="A6" s="52">
        <v>45659</v>
      </c>
      <c r="B6" s="45" t="s">
        <v>8</v>
      </c>
      <c r="C6" s="40">
        <v>250</v>
      </c>
    </row>
    <row r="7" spans="1:3" x14ac:dyDescent="0.35">
      <c r="A7" s="52">
        <v>45660</v>
      </c>
      <c r="B7" s="45" t="s">
        <v>9</v>
      </c>
      <c r="C7" s="40">
        <v>520</v>
      </c>
    </row>
    <row r="8" spans="1:3" ht="15" thickBot="1" x14ac:dyDescent="0.4">
      <c r="A8" s="53">
        <v>45661</v>
      </c>
      <c r="B8" s="18" t="s">
        <v>10</v>
      </c>
      <c r="C8" s="17">
        <v>180</v>
      </c>
    </row>
    <row r="10" spans="1:3" x14ac:dyDescent="0.35">
      <c r="A10" s="1" t="s">
        <v>11</v>
      </c>
      <c r="B10" t="s">
        <v>146</v>
      </c>
    </row>
    <row r="11" spans="1:3" x14ac:dyDescent="0.35">
      <c r="A11" s="1" t="s">
        <v>13</v>
      </c>
      <c r="B11" t="s">
        <v>147</v>
      </c>
    </row>
    <row r="13" spans="1:3" x14ac:dyDescent="0.35">
      <c r="A13" s="3" t="s">
        <v>172</v>
      </c>
      <c r="B13" s="29">
        <f>SUBTOTAL(9,C5:C8)</f>
        <v>1070</v>
      </c>
    </row>
  </sheetData>
  <autoFilter ref="B4:B8" xr:uid="{00000000-0001-0000-1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Q01_SUM</vt:lpstr>
      <vt:lpstr>Q02_AVERAGE</vt:lpstr>
      <vt:lpstr>Q03_COUNTA</vt:lpstr>
      <vt:lpstr>Q04_COUNTIF</vt:lpstr>
      <vt:lpstr>Q05_SUMIF</vt:lpstr>
      <vt:lpstr>Q06_SUMPRODUCT</vt:lpstr>
      <vt:lpstr>Q07_MAX_MIN</vt:lpstr>
      <vt:lpstr>Q08_LARGE</vt:lpstr>
      <vt:lpstr>Q09_IF</vt:lpstr>
      <vt:lpstr>Q10_VLOOKUP</vt:lpstr>
      <vt:lpstr>Q11_INDEX_MATCH</vt:lpstr>
      <vt:lpstr>Q12_MONTHNAME</vt:lpstr>
      <vt:lpstr>Q13_DATE_ADD</vt:lpstr>
      <vt:lpstr>Q14_LEFT_FIND</vt:lpstr>
      <vt:lpstr>Q15_MID_YEAR</vt:lpstr>
      <vt:lpstr>Q16_CONCAT</vt:lpstr>
      <vt:lpstr>Q17_TRIM_PROPER</vt:lpstr>
      <vt:lpstr>Q18_UNIQUECOUNT</vt:lpstr>
      <vt:lpstr>Q19_SUMPRODUCT2</vt:lpstr>
      <vt:lpstr>Q20_SUBTOTAL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 EVANS (Knypersley First School)</cp:lastModifiedBy>
  <dcterms:created xsi:type="dcterms:W3CDTF">2025-09-20T09:03:30Z</dcterms:created>
  <dcterms:modified xsi:type="dcterms:W3CDTF">2026-01-26T19:07:33Z</dcterms:modified>
</cp:coreProperties>
</file>